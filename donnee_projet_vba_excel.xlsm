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M1 SE\"/>
    </mc:Choice>
  </mc:AlternateContent>
  <bookViews>
    <workbookView xWindow="0" yWindow="0" windowWidth="20490" windowHeight="7155" activeTab="4"/>
  </bookViews>
  <sheets>
    <sheet name="A" sheetId="1" r:id="rId1"/>
    <sheet name="B" sheetId="2" r:id="rId2"/>
    <sheet name="C" sheetId="3" r:id="rId3"/>
    <sheet name="D" sheetId="4" r:id="rId4"/>
    <sheet name="E" sheetId="5" r:id="rId5"/>
    <sheet name="Feuil1" sheetId="6" r:id="rId6"/>
    <sheet name="Defaillantes" sheetId="9" r:id="rId7"/>
    <sheet name="incertidudes" sheetId="10" r:id="rId8"/>
    <sheet name="Solveur" sheetId="12" r:id="rId9"/>
  </sheets>
  <functionGroups builtInGroupCount="18"/>
  <definedNames>
    <definedName name="_xlnm._FilterDatabase" localSheetId="0" hidden="1">A!$A$1:$I$21</definedName>
    <definedName name="_xlnm._FilterDatabase" localSheetId="1" hidden="1">B!$A$1:$I$21</definedName>
    <definedName name="_xlnm._FilterDatabase" localSheetId="2" hidden="1">'C'!$A$1:$I$21</definedName>
    <definedName name="_xlnm._FilterDatabase" localSheetId="3" hidden="1">D!$A$1:$I$21</definedName>
    <definedName name="_xlnm._FilterDatabase" localSheetId="4" hidden="1">E!$A$1:$I$21</definedName>
    <definedName name="solver_adj" localSheetId="8" hidden="1">Solveur!$K$51,Solveur!$L$51,Solveur!$M$51,Solveur!$N$51,Solveur!$O$51,Solveur!$P$51,Solveur!$Q$51</definedName>
    <definedName name="solver_cvg" localSheetId="8" hidden="1">0.0001</definedName>
    <definedName name="solver_drv" localSheetId="8" hidden="1">1</definedName>
    <definedName name="solver_eng" localSheetId="5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5" hidden="1">1</definedName>
    <definedName name="solver_neg" localSheetId="8" hidden="1">1</definedName>
    <definedName name="solver_nod" localSheetId="8" hidden="1">2147483647</definedName>
    <definedName name="solver_num" localSheetId="5" hidden="1">0</definedName>
    <definedName name="solver_num" localSheetId="8" hidden="1">0</definedName>
    <definedName name="solver_nwt" localSheetId="8" hidden="1">1</definedName>
    <definedName name="solver_opt" localSheetId="8" hidden="1">Solveur!$R$51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5" hidden="1">3</definedName>
    <definedName name="solver_typ" localSheetId="8" hidden="1">3</definedName>
    <definedName name="solver_val" localSheetId="5" hidden="1">0</definedName>
    <definedName name="solver_val" localSheetId="8" hidden="1">2.99</definedName>
    <definedName name="solver_ver" localSheetId="5" hidden="1">3</definedName>
    <definedName name="solver_ver" localSheetId="8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2" l="1"/>
  <c r="R9" i="12"/>
  <c r="R17" i="12"/>
  <c r="R25" i="12"/>
  <c r="R29" i="12"/>
  <c r="R33" i="12"/>
  <c r="R37" i="12"/>
  <c r="R45" i="12"/>
  <c r="R49" i="12"/>
  <c r="R34" i="12"/>
  <c r="R42" i="12"/>
  <c r="R50" i="12"/>
  <c r="R7" i="12"/>
  <c r="R19" i="12"/>
  <c r="R27" i="12"/>
  <c r="R35" i="12"/>
  <c r="R43" i="12"/>
  <c r="R51" i="12"/>
  <c r="R16" i="12"/>
  <c r="R24" i="12"/>
  <c r="R44" i="12"/>
  <c r="R6" i="12"/>
  <c r="R10" i="12"/>
  <c r="R14" i="12"/>
  <c r="R18" i="12"/>
  <c r="R26" i="12"/>
  <c r="R38" i="12"/>
  <c r="R46" i="12"/>
  <c r="R15" i="12"/>
  <c r="R36" i="12"/>
  <c r="R47" i="12"/>
  <c r="R8" i="12"/>
  <c r="R20" i="12"/>
  <c r="R28" i="12"/>
  <c r="R48" i="12"/>
  <c r="R4" i="12"/>
  <c r="H36" i="12"/>
  <c r="H24" i="12"/>
  <c r="H32" i="12"/>
  <c r="H40" i="12"/>
  <c r="H27" i="12"/>
  <c r="H25" i="12"/>
  <c r="H33" i="12"/>
  <c r="H41" i="12"/>
  <c r="H31" i="12"/>
  <c r="H43" i="12"/>
  <c r="H22" i="12"/>
  <c r="H26" i="12"/>
  <c r="H34" i="12"/>
  <c r="H42" i="12"/>
  <c r="H23" i="12"/>
  <c r="H35" i="12"/>
  <c r="H15" i="12"/>
  <c r="H16" i="12"/>
  <c r="H14" i="12"/>
  <c r="H17" i="12"/>
  <c r="H18" i="12"/>
  <c r="H5" i="12"/>
  <c r="H6" i="12"/>
  <c r="H7" i="12"/>
  <c r="H9" i="12"/>
  <c r="H8" i="12"/>
  <c r="H10" i="12"/>
  <c r="H4" i="12"/>
  <c r="I3" i="5"/>
  <c r="I7" i="5"/>
  <c r="I11" i="5"/>
  <c r="I15" i="5"/>
  <c r="I19" i="5"/>
  <c r="I14" i="5"/>
  <c r="I4" i="5"/>
  <c r="I8" i="5"/>
  <c r="I12" i="5"/>
  <c r="I16" i="5"/>
  <c r="I20" i="5"/>
  <c r="I10" i="5"/>
  <c r="I5" i="5"/>
  <c r="I9" i="5"/>
  <c r="I13" i="5"/>
  <c r="I17" i="5"/>
  <c r="I21" i="5"/>
  <c r="I6" i="5"/>
  <c r="I18" i="5"/>
  <c r="I2" i="5"/>
  <c r="I3" i="4"/>
  <c r="I7" i="4"/>
  <c r="I11" i="4"/>
  <c r="I15" i="4"/>
  <c r="I19" i="4"/>
  <c r="I16" i="4"/>
  <c r="I6" i="4"/>
  <c r="I18" i="4"/>
  <c r="I4" i="4"/>
  <c r="I8" i="4"/>
  <c r="I12" i="4"/>
  <c r="I20" i="4"/>
  <c r="I10" i="4"/>
  <c r="I5" i="4"/>
  <c r="I9" i="4"/>
  <c r="I13" i="4"/>
  <c r="I17" i="4"/>
  <c r="I21" i="4"/>
  <c r="I14" i="4"/>
  <c r="I2" i="4"/>
  <c r="I3" i="3"/>
  <c r="I7" i="3"/>
  <c r="I11" i="3"/>
  <c r="I15" i="3"/>
  <c r="I19" i="3"/>
  <c r="I12" i="3"/>
  <c r="I16" i="3"/>
  <c r="I5" i="3"/>
  <c r="I9" i="3"/>
  <c r="I17" i="3"/>
  <c r="I21" i="3"/>
  <c r="I6" i="3"/>
  <c r="I14" i="3"/>
  <c r="I18" i="3"/>
  <c r="I4" i="3"/>
  <c r="I8" i="3"/>
  <c r="I20" i="3"/>
  <c r="I13" i="3"/>
  <c r="I10" i="3"/>
  <c r="I2" i="3"/>
  <c r="I3" i="2"/>
  <c r="I7" i="2"/>
  <c r="I11" i="2"/>
  <c r="I15" i="2"/>
  <c r="I19" i="2"/>
  <c r="I12" i="2"/>
  <c r="I20" i="2"/>
  <c r="I14" i="2"/>
  <c r="I4" i="2"/>
  <c r="I8" i="2"/>
  <c r="I16" i="2"/>
  <c r="I5" i="2"/>
  <c r="I9" i="2"/>
  <c r="I13" i="2"/>
  <c r="I17" i="2"/>
  <c r="I21" i="2"/>
  <c r="I6" i="2"/>
  <c r="I10" i="2"/>
  <c r="I18" i="2"/>
  <c r="I2" i="2"/>
  <c r="I3" i="1"/>
  <c r="I7" i="1"/>
  <c r="I11" i="1"/>
  <c r="I15" i="1"/>
  <c r="I19" i="1"/>
  <c r="I9" i="1"/>
  <c r="I17" i="1"/>
  <c r="I21" i="1"/>
  <c r="I10" i="1"/>
  <c r="I18" i="1"/>
  <c r="I4" i="1"/>
  <c r="I8" i="1"/>
  <c r="I12" i="1"/>
  <c r="I16" i="1"/>
  <c r="I20" i="1"/>
  <c r="I5" i="1"/>
  <c r="I13" i="1"/>
  <c r="I6" i="1"/>
  <c r="I14" i="1"/>
  <c r="I2" i="1"/>
  <c r="E3" i="6"/>
  <c r="E19" i="6"/>
  <c r="E12" i="6"/>
  <c r="E18" i="6"/>
  <c r="E17" i="6"/>
  <c r="E15" i="6"/>
  <c r="E13" i="6"/>
  <c r="E7" i="6"/>
  <c r="E14" i="6"/>
  <c r="E16" i="6"/>
  <c r="E5" i="6"/>
  <c r="E21" i="6"/>
  <c r="E9" i="6"/>
  <c r="E8" i="6"/>
  <c r="E2" i="6"/>
  <c r="E11" i="6"/>
  <c r="E4" i="6"/>
  <c r="E20" i="6"/>
  <c r="E10" i="6"/>
  <c r="E6" i="6"/>
  <c r="D7" i="6"/>
  <c r="D10" i="6"/>
  <c r="D16" i="6"/>
  <c r="D9" i="6"/>
  <c r="D6" i="6"/>
  <c r="D3" i="6"/>
  <c r="D5" i="6"/>
  <c r="D11" i="6"/>
  <c r="D4" i="6"/>
  <c r="D20" i="6"/>
  <c r="D13" i="6"/>
  <c r="D18" i="6"/>
  <c r="D19" i="6"/>
  <c r="D21" i="6"/>
  <c r="D15" i="6"/>
  <c r="D8" i="6"/>
  <c r="D14" i="6"/>
  <c r="D17" i="6"/>
  <c r="D12" i="6"/>
  <c r="D2" i="6"/>
  <c r="C11" i="6"/>
  <c r="C4" i="6"/>
  <c r="C20" i="6"/>
  <c r="C13" i="6"/>
  <c r="C18" i="6"/>
  <c r="C16" i="6"/>
  <c r="C2" i="6"/>
  <c r="C15" i="6"/>
  <c r="C8" i="6"/>
  <c r="C10" i="6"/>
  <c r="C17" i="6"/>
  <c r="C7" i="6"/>
  <c r="C9" i="6"/>
  <c r="C3" i="6"/>
  <c r="C19" i="6"/>
  <c r="C12" i="6"/>
  <c r="C5" i="6"/>
  <c r="C21" i="6"/>
  <c r="C14" i="6"/>
  <c r="C6" i="6"/>
  <c r="B15" i="6"/>
  <c r="B8" i="6"/>
  <c r="B14" i="6"/>
  <c r="B17" i="6"/>
  <c r="B4" i="6"/>
  <c r="B3" i="6"/>
  <c r="B19" i="6"/>
  <c r="B12" i="6"/>
  <c r="B5" i="6"/>
  <c r="B21" i="6"/>
  <c r="B7" i="6"/>
  <c r="B10" i="6"/>
  <c r="B16" i="6"/>
  <c r="B9" i="6"/>
  <c r="B6" i="6"/>
  <c r="B11" i="6"/>
  <c r="B20" i="6"/>
  <c r="B13" i="6"/>
  <c r="B18" i="6"/>
  <c r="B2" i="6"/>
  <c r="A3" i="6"/>
  <c r="A19" i="6"/>
  <c r="A8" i="6"/>
  <c r="A5" i="6"/>
  <c r="A21" i="6"/>
  <c r="A16" i="6"/>
  <c r="A14" i="6"/>
  <c r="A4" i="6"/>
  <c r="A20" i="6"/>
  <c r="A2" i="6"/>
  <c r="A7" i="6"/>
  <c r="A6" i="6"/>
  <c r="A12" i="6"/>
  <c r="A9" i="6"/>
  <c r="A10" i="6"/>
  <c r="A11" i="6"/>
  <c r="A18" i="6"/>
  <c r="A13" i="6"/>
  <c r="A15" i="6"/>
  <c r="A17" i="6"/>
  <c r="H2" i="6" l="1"/>
  <c r="I2" i="6"/>
  <c r="G2" i="6"/>
</calcChain>
</file>

<file path=xl/sharedStrings.xml><?xml version="1.0" encoding="utf-8"?>
<sst xmlns="http://schemas.openxmlformats.org/spreadsheetml/2006/main" count="209" uniqueCount="24">
  <si>
    <t>CC</t>
  </si>
  <si>
    <t>PR</t>
  </si>
  <si>
    <t>TA</t>
  </si>
  <si>
    <t>PFI</t>
  </si>
  <si>
    <t>CB</t>
  </si>
  <si>
    <t>VCP</t>
  </si>
  <si>
    <t>V</t>
  </si>
  <si>
    <t>Zone A</t>
  </si>
  <si>
    <t>Zone B</t>
  </si>
  <si>
    <t>Zone C</t>
  </si>
  <si>
    <t>Zone D</t>
  </si>
  <si>
    <t>Zone E</t>
  </si>
  <si>
    <t>Incertains</t>
  </si>
  <si>
    <t>Acceptés</t>
  </si>
  <si>
    <t>Rejetés</t>
  </si>
  <si>
    <t>Score</t>
  </si>
  <si>
    <t>B</t>
  </si>
  <si>
    <t>A</t>
  </si>
  <si>
    <t>C</t>
  </si>
  <si>
    <t>D</t>
  </si>
  <si>
    <t>E</t>
  </si>
  <si>
    <t xml:space="preserve"> </t>
  </si>
  <si>
    <t>Defaillantes</t>
  </si>
  <si>
    <t>Incertitudes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</si>
</sst>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2" xfId="0" applyFill="1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2" borderId="0" xfId="0" applyFill="1"/>
    <xf numFmtId="0" fontId="1" fillId="0" borderId="0" xfId="0" applyFont="1"/>
    <xf numFmtId="0" fontId="1" fillId="2" borderId="0" xfId="0" applyFont="1" applyFill="1"/>
    <xf numFmtId="0" fontId="0" fillId="4" borderId="0" xfId="0" applyFill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5555555555555552E-2"/>
          <c:y val="0.17171296296296298"/>
          <c:w val="0.93888888888888888"/>
          <c:h val="0.6714577865266842"/>
        </c:manualLayout>
      </c:layout>
      <c:pie3DChart>
        <c:varyColors val="1"/>
        <c:ser>
          <c:idx val="1"/>
          <c:order val="0"/>
          <c:spPr>
            <a:effectLst>
              <a:outerShdw blurRad="50800" dist="50800" dir="5400000" algn="ctr" rotWithShape="0">
                <a:schemeClr val="bg1"/>
              </a:outerShdw>
            </a:effectLst>
            <a:scene3d>
              <a:camera prst="orthographicFront"/>
              <a:lightRig rig="threePt" dir="t"/>
            </a:scene3d>
            <a:sp3d>
              <a:bevelT w="114300" prst="artDeco"/>
              <a:contourClr>
                <a:srgbClr val="000000"/>
              </a:contourClr>
            </a:sp3d>
          </c:spPr>
          <c:explosion val="15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  <a:scene3d>
                <a:camera prst="orthographicFront"/>
                <a:lightRig rig="threePt" dir="t"/>
              </a:scene3d>
              <a:sp3d contourW="25400">
                <a:bevelT w="146050" prst="artDeco"/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  <a:scene3d>
                <a:camera prst="orthographicFront"/>
                <a:lightRig rig="threePt" dir="t"/>
              </a:scene3d>
              <a:sp3d contourW="25400">
                <a:bevelT w="114300" prst="artDeco"/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  <a:scene3d>
                <a:camera prst="orthographicFront"/>
                <a:lightRig rig="threePt" dir="t"/>
              </a:scene3d>
              <a:sp3d contourW="25400">
                <a:bevelT w="114300" prst="artDeco"/>
                <a:contourClr>
                  <a:schemeClr val="lt1"/>
                </a:contourClr>
              </a:sp3d>
            </c:spPr>
          </c:dPt>
          <c:dLbls>
            <c:dLbl>
              <c:idx val="0"/>
              <c:layout>
                <c:manualLayout>
                  <c:x val="8.9126559714795012E-3"/>
                  <c:y val="-0.101340545883235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261EE3D-FC2B-4A85-AF93-506F97324DDB}" type="VALUE">
                      <a:rPr lang="en-US" sz="1600"/>
                      <a:pPr>
                        <a:defRPr/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30124777183601E-2"/>
                      <c:h val="0.1035749107459122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-0.11051693404634581"/>
                  <c:y val="2.856885497930084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C5A5F9-2F52-471A-BEFA-C89DAA5FE4AF}" type="VALUE">
                      <a:rPr lang="en-US" sz="1600"/>
                      <a:pPr>
                        <a:defRPr/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3475935828877004E-2"/>
                      <c:h val="7.2657026941162287E-2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2"/>
              <c:layout>
                <c:manualLayout>
                  <c:x val="-6.7736115204850733E-2"/>
                  <c:y val="-3.862057548650020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C9DC3F-5F12-480C-8E1B-A46992831890}" type="VALUE">
                      <a:rPr lang="en-US" sz="1600"/>
                      <a:pPr>
                        <a:defRPr/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953654188948302E-2"/>
                      <c:h val="0.1035749107459122"/>
                    </c:manualLayout>
                  </c15:layout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Feuil1!$G$1:$I$1</c:f>
              <c:strCache>
                <c:ptCount val="3"/>
                <c:pt idx="0">
                  <c:v>Acceptés</c:v>
                </c:pt>
                <c:pt idx="1">
                  <c:v>Incertains</c:v>
                </c:pt>
                <c:pt idx="2">
                  <c:v>Rejetés</c:v>
                </c:pt>
              </c:strCache>
            </c:strRef>
          </c:cat>
          <c:val>
            <c:numRef>
              <c:f>Feuil1!$G$2:$I$2</c:f>
              <c:numCache>
                <c:formatCode>General</c:formatCode>
                <c:ptCount val="3"/>
                <c:pt idx="0">
                  <c:v>36</c:v>
                </c:pt>
                <c:pt idx="1">
                  <c:v>36</c:v>
                </c:pt>
                <c:pt idx="2">
                  <c:v>28</c:v>
                </c:pt>
              </c:numCache>
            </c:numRef>
          </c:val>
        </c:ser>
        <c:ser>
          <c:idx val="0"/>
          <c:order val="1"/>
          <c:spPr>
            <a:effectLst>
              <a:outerShdw blurRad="50800" dist="50800" dir="5400000" algn="ctr" rotWithShape="0">
                <a:schemeClr val="bg1"/>
              </a:outerShdw>
            </a:effectLst>
            <a:scene3d>
              <a:camera prst="orthographicFront"/>
              <a:lightRig rig="threePt" dir="t"/>
            </a:scene3d>
            <a:sp3d>
              <a:bevelT w="114300" prst="artDeco"/>
              <a:contourClr>
                <a:srgbClr val="000000"/>
              </a:contourClr>
            </a:sp3d>
          </c:spPr>
          <c:explosion val="34"/>
          <c:dPt>
            <c:idx val="0"/>
            <c:bubble3D val="0"/>
            <c:explosion val="7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  <a:scene3d>
                <a:camera prst="orthographicFront"/>
                <a:lightRig rig="threePt" dir="t"/>
              </a:scene3d>
              <a:sp3d contourW="25400">
                <a:bevelT w="146050" prst="artDeco"/>
                <a:contourClr>
                  <a:schemeClr val="lt1"/>
                </a:contourClr>
              </a:sp3d>
            </c:spPr>
          </c:dPt>
          <c:dPt>
            <c:idx val="1"/>
            <c:bubble3D val="0"/>
            <c:explosion val="21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  <a:scene3d>
                <a:camera prst="orthographicFront"/>
                <a:lightRig rig="threePt" dir="t"/>
              </a:scene3d>
              <a:sp3d contourW="25400">
                <a:bevelT w="114300" prst="artDeco"/>
                <a:contourClr>
                  <a:schemeClr val="lt1"/>
                </a:contourClr>
              </a:sp3d>
            </c:spPr>
          </c:dPt>
          <c:dPt>
            <c:idx val="2"/>
            <c:bubble3D val="0"/>
            <c:explosion val="18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  <a:scene3d>
                <a:camera prst="orthographicFront"/>
                <a:lightRig rig="threePt" dir="t"/>
              </a:scene3d>
              <a:sp3d contourW="25400">
                <a:bevelT w="114300" prst="artDeco"/>
                <a:contourClr>
                  <a:schemeClr val="lt1"/>
                </a:contourClr>
              </a:sp3d>
            </c:spPr>
          </c:dPt>
          <c:cat>
            <c:strRef>
              <c:f>Feuil1!$G$1:$I$1</c:f>
              <c:strCache>
                <c:ptCount val="3"/>
                <c:pt idx="0">
                  <c:v>Acceptés</c:v>
                </c:pt>
                <c:pt idx="1">
                  <c:v>Incertains</c:v>
                </c:pt>
                <c:pt idx="2">
                  <c:v>Rejetés</c:v>
                </c:pt>
              </c:strCache>
            </c:strRef>
          </c:cat>
          <c:val>
            <c:numRef>
              <c:f>Feuil1!$G$2:$I$2</c:f>
              <c:numCache>
                <c:formatCode>General</c:formatCode>
                <c:ptCount val="3"/>
                <c:pt idx="0">
                  <c:v>36</c:v>
                </c:pt>
                <c:pt idx="1">
                  <c:v>36</c:v>
                </c:pt>
                <c:pt idx="2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9918733420354544E-2"/>
          <c:y val="6.1084730825738773E-2"/>
          <c:w val="0.14088775667747416"/>
          <c:h val="0.7292722976978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721519</xdr:colOff>
      <xdr:row>3</xdr:row>
      <xdr:rowOff>83344</xdr:rowOff>
    </xdr:from>
    <xdr:to>
      <xdr:col>19</xdr:col>
      <xdr:colOff>226219</xdr:colOff>
      <xdr:row>24</xdr:row>
      <xdr:rowOff>190499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21"/>
  <sheetViews>
    <sheetView workbookViewId="0">
      <selection sqref="A1:I21"/>
    </sheetView>
  </sheetViews>
  <sheetFormatPr baseColWidth="10" defaultRowHeight="15" x14ac:dyDescent="0.25"/>
  <cols>
    <col min="1" max="7" width="11.4257812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15</v>
      </c>
    </row>
    <row r="2" spans="1:9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I2">
        <f>Score_altman(A2,B2,C2,D2,E2,F2,G2)</f>
        <v>3.7174162536738447</v>
      </c>
    </row>
    <row r="3" spans="1:9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I3">
        <f t="shared" ref="I3:I21" si="0">Score_altman(A3,B3,C3,D3,E3,F3,G3)</f>
        <v>2.019460576901388</v>
      </c>
    </row>
    <row r="4" spans="1:9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I4">
        <f t="shared" si="0"/>
        <v>1.0511210761960836</v>
      </c>
    </row>
    <row r="5" spans="1:9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I5">
        <f t="shared" si="0"/>
        <v>5.4104616525093121</v>
      </c>
    </row>
    <row r="6" spans="1:9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I6">
        <f t="shared" si="0"/>
        <v>3.4618701829695762</v>
      </c>
    </row>
    <row r="7" spans="1:9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I7">
        <f t="shared" si="0"/>
        <v>2.4938926002332749</v>
      </c>
    </row>
    <row r="8" spans="1:9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I8">
        <f t="shared" si="0"/>
        <v>2.5491405578218855</v>
      </c>
    </row>
    <row r="9" spans="1:9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I9">
        <f t="shared" si="0"/>
        <v>1.3504434575421931</v>
      </c>
    </row>
    <row r="10" spans="1:9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I10">
        <f t="shared" si="0"/>
        <v>1.9669683344141837</v>
      </c>
    </row>
    <row r="11" spans="1:9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I11">
        <f t="shared" si="0"/>
        <v>4.1152668459165609</v>
      </c>
    </row>
    <row r="12" spans="1:9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I12">
        <f t="shared" si="0"/>
        <v>0.68612785491020745</v>
      </c>
    </row>
    <row r="13" spans="1:9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I13">
        <f t="shared" si="0"/>
        <v>1.7671876781522327</v>
      </c>
    </row>
    <row r="14" spans="1:9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I14">
        <f t="shared" si="0"/>
        <v>1.1790494810147372</v>
      </c>
    </row>
    <row r="15" spans="1:9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I15">
        <f t="shared" si="0"/>
        <v>0.6703562000200799</v>
      </c>
    </row>
    <row r="16" spans="1:9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I16">
        <f t="shared" si="0"/>
        <v>2.7374666611725638</v>
      </c>
    </row>
    <row r="17" spans="1:9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I17">
        <f t="shared" si="0"/>
        <v>2.9583159047757301</v>
      </c>
    </row>
    <row r="18" spans="1:9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I18">
        <f t="shared" si="0"/>
        <v>3.5230330913589354</v>
      </c>
    </row>
    <row r="19" spans="1:9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I19">
        <f t="shared" si="0"/>
        <v>1.8988383344806765</v>
      </c>
    </row>
    <row r="20" spans="1:9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I20">
        <f t="shared" si="0"/>
        <v>3.1459706609122224</v>
      </c>
    </row>
    <row r="21" spans="1:9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I21">
        <f t="shared" si="0"/>
        <v>0.45055122813451226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21"/>
  <sheetViews>
    <sheetView workbookViewId="0">
      <selection sqref="A1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I2">
        <f>Score_altman(A2,B2,C2,D2,E2,F2,G2)</f>
        <v>2.4105502414532154</v>
      </c>
    </row>
    <row r="3" spans="1:9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I3">
        <f t="shared" ref="I3:I21" si="0">Score_altman(A3,B3,C3,D3,E3,F3,G3)</f>
        <v>2.8148834220778087</v>
      </c>
    </row>
    <row r="4" spans="1:9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I4">
        <f t="shared" si="0"/>
        <v>3.5600173774505879</v>
      </c>
    </row>
    <row r="5" spans="1:9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I5">
        <f t="shared" si="0"/>
        <v>-0.36253293851186685</v>
      </c>
    </row>
    <row r="6" spans="1:9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I6">
        <f t="shared" si="0"/>
        <v>0.27650562677842805</v>
      </c>
    </row>
    <row r="7" spans="1:9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I7">
        <f t="shared" si="0"/>
        <v>2.8702914732888605</v>
      </c>
    </row>
    <row r="8" spans="1:9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I8">
        <f t="shared" si="0"/>
        <v>4.3791218118690862</v>
      </c>
    </row>
    <row r="9" spans="1:9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I9">
        <f t="shared" si="0"/>
        <v>3.0905336243708845</v>
      </c>
    </row>
    <row r="10" spans="1:9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I10">
        <f t="shared" si="0"/>
        <v>4.4102353319279706</v>
      </c>
    </row>
    <row r="11" spans="1:9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I11">
        <f t="shared" si="0"/>
        <v>2.1928708035454387</v>
      </c>
    </row>
    <row r="12" spans="1:9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I12">
        <f t="shared" si="0"/>
        <v>3.1606559941863877</v>
      </c>
    </row>
    <row r="13" spans="1:9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I13">
        <f t="shared" si="0"/>
        <v>4.7779235409631573</v>
      </c>
    </row>
    <row r="14" spans="1:9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I14">
        <f t="shared" si="0"/>
        <v>1.7771694977456005</v>
      </c>
    </row>
    <row r="15" spans="1:9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I15">
        <f t="shared" si="0"/>
        <v>2.143197573706515</v>
      </c>
    </row>
    <row r="16" spans="1:9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I16">
        <f t="shared" si="0"/>
        <v>3.6355389238404494</v>
      </c>
    </row>
    <row r="17" spans="1:9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I17">
        <f t="shared" si="0"/>
        <v>0.919469153675877</v>
      </c>
    </row>
    <row r="18" spans="1:9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I18">
        <f t="shared" si="0"/>
        <v>2.743339899722717</v>
      </c>
    </row>
    <row r="19" spans="1:9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I19">
        <f t="shared" si="0"/>
        <v>1.0442274461724208</v>
      </c>
    </row>
    <row r="20" spans="1:9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I20">
        <f t="shared" si="0"/>
        <v>4.5370195511143807</v>
      </c>
    </row>
    <row r="21" spans="1:9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I21">
        <f t="shared" si="0"/>
        <v>2.4973173875417505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21"/>
  <sheetViews>
    <sheetView workbookViewId="0">
      <selection sqref="A1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I2">
        <f>Score_altman(A2,B2,C2,D2,E2,F2,G2)</f>
        <v>2.9430885173658345</v>
      </c>
    </row>
    <row r="3" spans="1:9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I3">
        <f t="shared" ref="I3:I21" si="0">Score_altman(A3,B3,C3,D3,E3,F3,G3)</f>
        <v>2.7622726194601497</v>
      </c>
    </row>
    <row r="4" spans="1:9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I4">
        <f t="shared" si="0"/>
        <v>1.4490388403551584</v>
      </c>
    </row>
    <row r="5" spans="1:9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I5">
        <f t="shared" si="0"/>
        <v>2.9483899766115225</v>
      </c>
    </row>
    <row r="6" spans="1:9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I6">
        <f t="shared" si="0"/>
        <v>3.6585449156798306</v>
      </c>
    </row>
    <row r="7" spans="1:9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I7">
        <f t="shared" si="0"/>
        <v>3.5949346817712979</v>
      </c>
    </row>
    <row r="8" spans="1:9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I8">
        <f t="shared" si="0"/>
        <v>1.2688380923990676</v>
      </c>
    </row>
    <row r="9" spans="1:9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I9">
        <f t="shared" si="0"/>
        <v>4.1056368636214007</v>
      </c>
    </row>
    <row r="10" spans="1:9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I10">
        <f t="shared" si="0"/>
        <v>1.9440956549836754</v>
      </c>
    </row>
    <row r="11" spans="1:9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I11">
        <f t="shared" si="0"/>
        <v>1.8081479133463074</v>
      </c>
    </row>
    <row r="12" spans="1:9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I12">
        <f t="shared" si="0"/>
        <v>2.3306869116101741</v>
      </c>
    </row>
    <row r="13" spans="1:9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I13">
        <f t="shared" si="0"/>
        <v>1.0278831785878959</v>
      </c>
    </row>
    <row r="14" spans="1:9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I14">
        <f t="shared" si="0"/>
        <v>4.1082457741621541</v>
      </c>
    </row>
    <row r="15" spans="1:9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I15">
        <f t="shared" si="0"/>
        <v>2.4732379581280428</v>
      </c>
    </row>
    <row r="16" spans="1:9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I16">
        <f t="shared" si="0"/>
        <v>3.2667473193898688</v>
      </c>
    </row>
    <row r="17" spans="1:9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I17">
        <f t="shared" si="0"/>
        <v>-0.84869146707238097</v>
      </c>
    </row>
    <row r="18" spans="1:9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I18">
        <f t="shared" si="0"/>
        <v>5.2547245963911937</v>
      </c>
    </row>
    <row r="19" spans="1:9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I19">
        <f t="shared" si="0"/>
        <v>3.4091640861002981</v>
      </c>
    </row>
    <row r="20" spans="1:9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I20">
        <f t="shared" si="0"/>
        <v>1.4680943888192191</v>
      </c>
    </row>
    <row r="21" spans="1:9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I21">
        <f t="shared" si="0"/>
        <v>3.3884479727894741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21"/>
  <sheetViews>
    <sheetView workbookViewId="0">
      <selection sqref="A1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I2">
        <f>Score_altman(A2,B2,C2,D2,E2,F2,G2)</f>
        <v>4.1662268389419017</v>
      </c>
    </row>
    <row r="3" spans="1:9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I3">
        <f t="shared" ref="I3:I21" si="0">Score_altman(A3,B3,C3,D3,E3,F3,G3)</f>
        <v>2.0731458813354862</v>
      </c>
    </row>
    <row r="4" spans="1:9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I4">
        <f t="shared" si="0"/>
        <v>2.0602836062772871</v>
      </c>
    </row>
    <row r="5" spans="1:9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I5">
        <f t="shared" si="0"/>
        <v>1.8314974898093279</v>
      </c>
    </row>
    <row r="6" spans="1:9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I6">
        <f t="shared" si="0"/>
        <v>2.3039806639846838</v>
      </c>
    </row>
    <row r="7" spans="1:9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I7">
        <f t="shared" si="0"/>
        <v>1.5167650296983184</v>
      </c>
    </row>
    <row r="8" spans="1:9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I8">
        <f t="shared" si="0"/>
        <v>4.715087725025807</v>
      </c>
    </row>
    <row r="9" spans="1:9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I9">
        <f t="shared" si="0"/>
        <v>0.32027768975192833</v>
      </c>
    </row>
    <row r="10" spans="1:9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I10">
        <f t="shared" si="0"/>
        <v>3.4242216618376968</v>
      </c>
    </row>
    <row r="11" spans="1:9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I11">
        <f t="shared" si="0"/>
        <v>2.8122017429807382</v>
      </c>
    </row>
    <row r="12" spans="1:9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I12">
        <f t="shared" si="0"/>
        <v>3.2376900115746832</v>
      </c>
    </row>
    <row r="13" spans="1:9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I13">
        <f t="shared" si="0"/>
        <v>0.51985567117887566</v>
      </c>
    </row>
    <row r="14" spans="1:9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I14">
        <f t="shared" si="0"/>
        <v>2.2147766754385829</v>
      </c>
    </row>
    <row r="15" spans="1:9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I15">
        <f t="shared" si="0"/>
        <v>1.6412812094327074</v>
      </c>
    </row>
    <row r="16" spans="1:9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I16">
        <f t="shared" si="0"/>
        <v>3.9188977658295174</v>
      </c>
    </row>
    <row r="17" spans="1:9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I17">
        <f t="shared" si="0"/>
        <v>5.4512705237469223</v>
      </c>
    </row>
    <row r="18" spans="1:9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I18">
        <f t="shared" si="0"/>
        <v>3.2717101903651744</v>
      </c>
    </row>
    <row r="19" spans="1:9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I19">
        <f t="shared" si="0"/>
        <v>1.347695983052284E-2</v>
      </c>
    </row>
    <row r="20" spans="1:9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I20">
        <f t="shared" si="0"/>
        <v>4.8025239596003333</v>
      </c>
    </row>
    <row r="21" spans="1:9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I21">
        <f t="shared" si="0"/>
        <v>0.47106729341892833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21"/>
  <sheetViews>
    <sheetView tabSelected="1" workbookViewId="0">
      <selection activeCell="L5" sqref="L5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9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I2">
        <f>Score_altman(A2,B2,C2,D2,E2,F2,G2)</f>
        <v>1.9793559768479003</v>
      </c>
    </row>
    <row r="3" spans="1:9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I3">
        <f t="shared" ref="I3:I21" si="0">Score_altman(A3,B3,C3,D3,E3,F3,G3)</f>
        <v>1.8680898635367826</v>
      </c>
    </row>
    <row r="4" spans="1:9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I4">
        <f t="shared" si="0"/>
        <v>2.3787564624671149</v>
      </c>
    </row>
    <row r="5" spans="1:9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I5">
        <f t="shared" si="0"/>
        <v>1.9211203736685989</v>
      </c>
    </row>
    <row r="6" spans="1:9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I6">
        <f t="shared" si="0"/>
        <v>3.0511417110954069</v>
      </c>
    </row>
    <row r="7" spans="1:9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I7">
        <f t="shared" si="0"/>
        <v>4.7176001410333832</v>
      </c>
    </row>
    <row r="8" spans="1:9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I8">
        <f t="shared" si="0"/>
        <v>0.95614022504030616</v>
      </c>
    </row>
    <row r="9" spans="1:9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I9">
        <f t="shared" si="0"/>
        <v>2.137042713858845</v>
      </c>
    </row>
    <row r="10" spans="1:9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I10">
        <f t="shared" si="0"/>
        <v>3.6430403483423981</v>
      </c>
    </row>
    <row r="11" spans="1:9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I11">
        <f t="shared" si="0"/>
        <v>1.3627078041388516</v>
      </c>
    </row>
    <row r="12" spans="1:9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I12">
        <f t="shared" si="0"/>
        <v>4.3012488638386657</v>
      </c>
    </row>
    <row r="13" spans="1:9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I13">
        <f t="shared" si="0"/>
        <v>2.1017693341751231</v>
      </c>
    </row>
    <row r="14" spans="1:9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I14">
        <f t="shared" si="0"/>
        <v>0.28571095168095545</v>
      </c>
    </row>
    <row r="15" spans="1:9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I15">
        <f t="shared" si="0"/>
        <v>4.4856234500438852</v>
      </c>
    </row>
    <row r="16" spans="1:9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I16">
        <f t="shared" si="0"/>
        <v>2.9492213640825851</v>
      </c>
    </row>
    <row r="17" spans="1:9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I17">
        <f t="shared" si="0"/>
        <v>3.0366762768919919</v>
      </c>
    </row>
    <row r="18" spans="1:9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I18">
        <f t="shared" si="0"/>
        <v>1.1467670445121458</v>
      </c>
    </row>
    <row r="19" spans="1:9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I19">
        <f t="shared" si="0"/>
        <v>1.878824406879916</v>
      </c>
    </row>
    <row r="20" spans="1:9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I20">
        <f t="shared" si="0"/>
        <v>2.0104005588575595</v>
      </c>
    </row>
    <row r="21" spans="1:9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I21">
        <f t="shared" si="0"/>
        <v>2.0497051567529807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K21"/>
  <sheetViews>
    <sheetView zoomScale="80" zoomScaleNormal="80" workbookViewId="0">
      <selection activeCell="G23" sqref="G23"/>
    </sheetView>
  </sheetViews>
  <sheetFormatPr baseColWidth="10" defaultRowHeight="15" x14ac:dyDescent="0.25"/>
  <sheetData>
    <row r="1" spans="1:11" x14ac:dyDescent="0.2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G1" s="5" t="s">
        <v>13</v>
      </c>
      <c r="H1" s="6" t="s">
        <v>12</v>
      </c>
      <c r="I1" s="4" t="s">
        <v>14</v>
      </c>
      <c r="K1" s="3"/>
    </row>
    <row r="2" spans="1:11" x14ac:dyDescent="0.25">
      <c r="A2" s="2">
        <f>Score_altman(A!A2,A!B2,A!C2,A!D2,A!E2,A!F2,A!G2)</f>
        <v>3.7174162536738447</v>
      </c>
      <c r="B2" s="2">
        <f>Score_altman(B!A2,B!B2,B!C2,B!D2,B!E2,B!F2,B!G2)</f>
        <v>2.4105502414532154</v>
      </c>
      <c r="C2" s="2">
        <f>Score_altman('C'!A2,'C'!B2,'C'!C2,'C'!D2,'C'!E2,'C'!F2,'C'!G2)</f>
        <v>2.9430885173658345</v>
      </c>
      <c r="D2" s="2">
        <f>Score_altman(D!A2,D!B2,D!C2,D!D2,D!E2,D!F2,D!G2)</f>
        <v>4.1662268389419017</v>
      </c>
      <c r="E2" s="2">
        <f>Score_altman(E!A2,E!B2,E!C2,E!D2,E!E2,E!F2,E!G2)</f>
        <v>1.9793559768479003</v>
      </c>
      <c r="G2">
        <f>COUNTIF(A2:E21,"&gt;=2,99")</f>
        <v>36</v>
      </c>
      <c r="H2">
        <f>COUNTIFS(A2:E21,"&gt;=1,81",A2:E21,"&lt;2,99")</f>
        <v>36</v>
      </c>
      <c r="I2">
        <f>COUNTIF(A2:E21,"&lt;=1,81")</f>
        <v>28</v>
      </c>
    </row>
    <row r="3" spans="1:11" x14ac:dyDescent="0.25">
      <c r="A3" s="2">
        <f>Score_altman(A!A3,A!B3,A!C3,A!D3,A!E3,A!F3,A!G3)</f>
        <v>2.019460576901388</v>
      </c>
      <c r="B3" s="2">
        <f>Score_altman(B!A3,B!B3,B!C3,B!D3,B!E3,B!F3,B!G3)</f>
        <v>2.8148834220778087</v>
      </c>
      <c r="C3" s="2">
        <f>Score_altman('C'!A3,'C'!B3,'C'!C3,'C'!D3,'C'!E3,'C'!F3,'C'!G3)</f>
        <v>2.7622726194601497</v>
      </c>
      <c r="D3" s="2">
        <f>Score_altman(D!A3,D!B3,D!C3,D!D3,D!E3,D!F3,D!G3)</f>
        <v>2.0731458813354862</v>
      </c>
      <c r="E3" s="2">
        <f>Score_altman(E!A3,E!B3,E!C3,E!D3,E!E3,E!F3,E!G3)</f>
        <v>1.8680898635367826</v>
      </c>
    </row>
    <row r="4" spans="1:11" x14ac:dyDescent="0.25">
      <c r="A4" s="2">
        <f>Score_altman(A!A4,A!B4,A!C4,A!D4,A!E4,A!F4,A!G4)</f>
        <v>1.0511210761960836</v>
      </c>
      <c r="B4" s="2">
        <f>Score_altman(B!A4,B!B4,B!C4,B!D4,B!E4,B!F4,B!G4)</f>
        <v>3.5600173774505879</v>
      </c>
      <c r="C4" s="2">
        <f>Score_altman('C'!A4,'C'!B4,'C'!C4,'C'!D4,'C'!E4,'C'!F4,'C'!G4)</f>
        <v>1.4490388403551584</v>
      </c>
      <c r="D4" s="2">
        <f>Score_altman(D!A4,D!B4,D!C4,D!D4,D!E4,D!F4,D!G4)</f>
        <v>2.0602836062772871</v>
      </c>
      <c r="E4" s="2">
        <f>Score_altman(E!A4,E!B4,E!C4,E!D4,E!E4,E!F4,E!G4)</f>
        <v>2.3787564624671149</v>
      </c>
    </row>
    <row r="5" spans="1:11" x14ac:dyDescent="0.25">
      <c r="A5" s="2">
        <f>Score_altman(A!A5,A!B5,A!C5,A!D5,A!E5,A!F5,A!G5)</f>
        <v>5.4104616525093121</v>
      </c>
      <c r="B5" s="2">
        <f>Score_altman(B!A5,B!B5,B!C5,B!D5,B!E5,B!F5,B!G5)</f>
        <v>-0.36253293851186685</v>
      </c>
      <c r="C5" s="2">
        <f>Score_altman('C'!A5,'C'!B5,'C'!C5,'C'!D5,'C'!E5,'C'!F5,'C'!G5)</f>
        <v>2.9483899766115225</v>
      </c>
      <c r="D5" s="2">
        <f>Score_altman(D!A5,D!B5,D!C5,D!D5,D!E5,D!F5,D!G5)</f>
        <v>1.8314974898093279</v>
      </c>
      <c r="E5" s="2">
        <f>Score_altman(E!A5,E!B5,E!C5,E!D5,E!E5,E!F5,E!G5)</f>
        <v>1.9211203736685989</v>
      </c>
    </row>
    <row r="6" spans="1:11" x14ac:dyDescent="0.25">
      <c r="A6" s="2">
        <f>Score_altman(A!A6,A!B6,A!C6,A!D6,A!E6,A!F6,A!G6)</f>
        <v>3.4618701829695762</v>
      </c>
      <c r="B6" s="2">
        <f>Score_altman(B!A6,B!B6,B!C6,B!D6,B!E6,B!F6,B!G6)</f>
        <v>0.27650562677842805</v>
      </c>
      <c r="C6" s="2">
        <f>Score_altman('C'!A6,'C'!B6,'C'!C6,'C'!D6,'C'!E6,'C'!F6,'C'!G6)</f>
        <v>3.6585449156798306</v>
      </c>
      <c r="D6" s="2">
        <f>Score_altman(D!A6,D!B6,D!C6,D!D6,D!E6,D!F6,D!G6)</f>
        <v>2.3039806639846838</v>
      </c>
      <c r="E6" s="2">
        <f>Score_altman(E!A6,E!B6,E!C6,E!D6,E!E6,E!F6,E!G6)</f>
        <v>3.0511417110954069</v>
      </c>
    </row>
    <row r="7" spans="1:11" x14ac:dyDescent="0.25">
      <c r="A7" s="2">
        <f>Score_altman(A!A7,A!B7,A!C7,A!D7,A!E7,A!F7,A!G7)</f>
        <v>2.4938926002332749</v>
      </c>
      <c r="B7" s="2">
        <f>Score_altman(B!A7,B!B7,B!C7,B!D7,B!E7,B!F7,B!G7)</f>
        <v>2.8702914732888605</v>
      </c>
      <c r="C7" s="2">
        <f>Score_altman('C'!A7,'C'!B7,'C'!C7,'C'!D7,'C'!E7,'C'!F7,'C'!G7)</f>
        <v>3.5949346817712979</v>
      </c>
      <c r="D7" s="2">
        <f>Score_altman(D!A7,D!B7,D!C7,D!D7,D!E7,D!F7,D!G7)</f>
        <v>1.5167650296983184</v>
      </c>
      <c r="E7" s="2">
        <f>Score_altman(E!A7,E!B7,E!C7,E!D7,E!E7,E!F7,E!G7)</f>
        <v>4.7176001410333832</v>
      </c>
    </row>
    <row r="8" spans="1:11" x14ac:dyDescent="0.25">
      <c r="A8" s="2">
        <f>Score_altman(A!A8,A!B8,A!C8,A!D8,A!E8,A!F8,A!G8)</f>
        <v>2.5491405578218855</v>
      </c>
      <c r="B8" s="2">
        <f>Score_altman(B!A8,B!B8,B!C8,B!D8,B!E8,B!F8,B!G8)</f>
        <v>4.3791218118690862</v>
      </c>
      <c r="C8" s="2">
        <f>Score_altman('C'!A8,'C'!B8,'C'!C8,'C'!D8,'C'!E8,'C'!F8,'C'!G8)</f>
        <v>1.2688380923990676</v>
      </c>
      <c r="D8" s="2">
        <f>Score_altman(D!A8,D!B8,D!C8,D!D8,D!E8,D!F8,D!G8)</f>
        <v>4.715087725025807</v>
      </c>
      <c r="E8" s="2">
        <f>Score_altman(E!A8,E!B8,E!C8,E!D8,E!E8,E!F8,E!G8)</f>
        <v>0.95614022504030616</v>
      </c>
    </row>
    <row r="9" spans="1:11" x14ac:dyDescent="0.25">
      <c r="A9" s="2">
        <f>Score_altman(A!A9,A!B9,A!C9,A!D9,A!E9,A!F9,A!G9)</f>
        <v>1.3504434575421931</v>
      </c>
      <c r="B9" s="2">
        <f>Score_altman(B!A9,B!B9,B!C9,B!D9,B!E9,B!F9,B!G9)</f>
        <v>3.0905336243708845</v>
      </c>
      <c r="C9" s="2">
        <f>Score_altman('C'!A9,'C'!B9,'C'!C9,'C'!D9,'C'!E9,'C'!F9,'C'!G9)</f>
        <v>4.1056368636214007</v>
      </c>
      <c r="D9" s="2">
        <f>Score_altman(D!A9,D!B9,D!C9,D!D9,D!E9,D!F9,D!G9)</f>
        <v>0.32027768975192833</v>
      </c>
      <c r="E9" s="2">
        <f>Score_altman(E!A9,E!B9,E!C9,E!D9,E!E9,E!F9,E!G9)</f>
        <v>2.137042713858845</v>
      </c>
    </row>
    <row r="10" spans="1:11" x14ac:dyDescent="0.25">
      <c r="A10" s="2">
        <f>Score_altman(A!A10,A!B10,A!C10,A!D10,A!E10,A!F10,A!G10)</f>
        <v>1.9669683344141837</v>
      </c>
      <c r="B10" s="2">
        <f>Score_altman(B!A10,B!B10,B!C10,B!D10,B!E10,B!F10,B!G10)</f>
        <v>4.4102353319279706</v>
      </c>
      <c r="C10" s="2">
        <f>Score_altman('C'!A10,'C'!B10,'C'!C10,'C'!D10,'C'!E10,'C'!F10,'C'!G10)</f>
        <v>1.9440956549836754</v>
      </c>
      <c r="D10" s="2">
        <f>Score_altman(D!A10,D!B10,D!C10,D!D10,D!E10,D!F10,D!G10)</f>
        <v>3.4242216618376968</v>
      </c>
      <c r="E10" s="2">
        <f>Score_altman(E!A10,E!B10,E!C10,E!D10,E!E10,E!F10,E!G10)</f>
        <v>3.6430403483423981</v>
      </c>
    </row>
    <row r="11" spans="1:11" x14ac:dyDescent="0.25">
      <c r="A11" s="2">
        <f>Score_altman(A!A11,A!B11,A!C11,A!D11,A!E11,A!F11,A!G11)</f>
        <v>4.1152668459165609</v>
      </c>
      <c r="B11" s="2">
        <f>Score_altman(B!A11,B!B11,B!C11,B!D11,B!E11,B!F11,B!G11)</f>
        <v>2.1928708035454387</v>
      </c>
      <c r="C11" s="2">
        <f>Score_altman('C'!A11,'C'!B11,'C'!C11,'C'!D11,'C'!E11,'C'!F11,'C'!G11)</f>
        <v>1.8081479133463074</v>
      </c>
      <c r="D11" s="2">
        <f>Score_altman(D!A11,D!B11,D!C11,D!D11,D!E11,D!F11,D!G11)</f>
        <v>2.8122017429807382</v>
      </c>
      <c r="E11" s="2">
        <f>Score_altman(E!A11,E!B11,E!C11,E!D11,E!E11,E!F11,E!G11)</f>
        <v>1.3627078041388516</v>
      </c>
    </row>
    <row r="12" spans="1:11" x14ac:dyDescent="0.25">
      <c r="A12" s="2">
        <f>Score_altman(A!A12,A!B12,A!C12,A!D12,A!E12,A!F12,A!G12)</f>
        <v>0.68612785491020745</v>
      </c>
      <c r="B12" s="2">
        <f>Score_altman(B!A12,B!B12,B!C12,B!D12,B!E12,B!F12,B!G12)</f>
        <v>3.1606559941863877</v>
      </c>
      <c r="C12" s="2">
        <f>Score_altman('C'!A12,'C'!B12,'C'!C12,'C'!D12,'C'!E12,'C'!F12,'C'!G12)</f>
        <v>2.3306869116101741</v>
      </c>
      <c r="D12" s="2">
        <f>Score_altman(D!A12,D!B12,D!C12,D!D12,D!E12,D!F12,D!G12)</f>
        <v>3.2376900115746832</v>
      </c>
      <c r="E12" s="2">
        <f>Score_altman(E!A12,E!B12,E!C12,E!D12,E!E12,E!F12,E!G12)</f>
        <v>4.3012488638386657</v>
      </c>
    </row>
    <row r="13" spans="1:11" x14ac:dyDescent="0.25">
      <c r="A13" s="2">
        <f>Score_altman(A!A13,A!B13,A!C13,A!D13,A!E13,A!F13,A!G13)</f>
        <v>1.7671876781522327</v>
      </c>
      <c r="B13" s="2">
        <f>Score_altman(B!A13,B!B13,B!C13,B!D13,B!E13,B!F13,B!G13)</f>
        <v>4.7779235409631573</v>
      </c>
      <c r="C13" s="2">
        <f>Score_altman('C'!A13,'C'!B13,'C'!C13,'C'!D13,'C'!E13,'C'!F13,'C'!G13)</f>
        <v>1.0278831785878959</v>
      </c>
      <c r="D13" s="2">
        <f>Score_altman(D!A13,D!B13,D!C13,D!D13,D!E13,D!F13,D!G13)</f>
        <v>0.51985567117887566</v>
      </c>
      <c r="E13" s="2">
        <f>Score_altman(E!A13,E!B13,E!C13,E!D13,E!E13,E!F13,E!G13)</f>
        <v>2.1017693341751231</v>
      </c>
    </row>
    <row r="14" spans="1:11" x14ac:dyDescent="0.25">
      <c r="A14" s="2">
        <f>Score_altman(A!A14,A!B14,A!C14,A!D14,A!E14,A!F14,A!G14)</f>
        <v>1.1790494810147372</v>
      </c>
      <c r="B14" s="2">
        <f>Score_altman(B!A14,B!B14,B!C14,B!D14,B!E14,B!F14,B!G14)</f>
        <v>1.7771694977456005</v>
      </c>
      <c r="C14" s="2">
        <f>Score_altman('C'!A14,'C'!B14,'C'!C14,'C'!D14,'C'!E14,'C'!F14,'C'!G14)</f>
        <v>4.1082457741621541</v>
      </c>
      <c r="D14" s="2">
        <f>Score_altman(D!A14,D!B14,D!C14,D!D14,D!E14,D!F14,D!G14)</f>
        <v>2.2147766754385829</v>
      </c>
      <c r="E14" s="2">
        <f>Score_altman(E!A14,E!B14,E!C14,E!D14,E!E14,E!F14,E!G14)</f>
        <v>0.28571095168095545</v>
      </c>
    </row>
    <row r="15" spans="1:11" x14ac:dyDescent="0.25">
      <c r="A15" s="2">
        <f>Score_altman(A!A15,A!B15,A!C15,A!D15,A!E15,A!F15,A!G15)</f>
        <v>0.6703562000200799</v>
      </c>
      <c r="B15" s="2">
        <f>Score_altman(B!A15,B!B15,B!C15,B!D15,B!E15,B!F15,B!G15)</f>
        <v>2.143197573706515</v>
      </c>
      <c r="C15" s="2">
        <f>Score_altman('C'!A15,'C'!B15,'C'!C15,'C'!D15,'C'!E15,'C'!F15,'C'!G15)</f>
        <v>2.4732379581280428</v>
      </c>
      <c r="D15" s="2">
        <f>Score_altman(D!A15,D!B15,D!C15,D!D15,D!E15,D!F15,D!G15)</f>
        <v>1.6412812094327074</v>
      </c>
      <c r="E15" s="2">
        <f>Score_altman(E!A15,E!B15,E!C15,E!D15,E!E15,E!F15,E!G15)</f>
        <v>4.4856234500438852</v>
      </c>
    </row>
    <row r="16" spans="1:11" x14ac:dyDescent="0.25">
      <c r="A16" s="2">
        <f>Score_altman(A!A16,A!B16,A!C16,A!D16,A!E16,A!F16,A!G16)</f>
        <v>2.7374666611725638</v>
      </c>
      <c r="B16" s="2">
        <f>Score_altman(B!A16,B!B16,B!C16,B!D16,B!E16,B!F16,B!G16)</f>
        <v>3.6355389238404494</v>
      </c>
      <c r="C16" s="2">
        <f>Score_altman('C'!A16,'C'!B16,'C'!C16,'C'!D16,'C'!E16,'C'!F16,'C'!G16)</f>
        <v>3.2667473193898688</v>
      </c>
      <c r="D16" s="2">
        <f>Score_altman(D!A16,D!B16,D!C16,D!D16,D!E16,D!F16,D!G16)</f>
        <v>3.9188977658295174</v>
      </c>
      <c r="E16" s="2">
        <f>Score_altman(E!A16,E!B16,E!C16,E!D16,E!E16,E!F16,E!G16)</f>
        <v>2.9492213640825851</v>
      </c>
    </row>
    <row r="17" spans="1:5" x14ac:dyDescent="0.25">
      <c r="A17" s="2">
        <f>Score_altman(A!A17,A!B17,A!C17,A!D17,A!E17,A!F17,A!G17)</f>
        <v>2.9583159047757301</v>
      </c>
      <c r="B17" s="2">
        <f>Score_altman(B!A17,B!B17,B!C17,B!D17,B!E17,B!F17,B!G17)</f>
        <v>0.919469153675877</v>
      </c>
      <c r="C17" s="2">
        <f>Score_altman('C'!A17,'C'!B17,'C'!C17,'C'!D17,'C'!E17,'C'!F17,'C'!G17)</f>
        <v>-0.84869146707238097</v>
      </c>
      <c r="D17" s="2">
        <f>Score_altman(D!A17,D!B17,D!C17,D!D17,D!E17,D!F17,D!G17)</f>
        <v>5.4512705237469223</v>
      </c>
      <c r="E17" s="2">
        <f>Score_altman(E!A17,E!B17,E!C17,E!D17,E!E17,E!F17,E!G17)</f>
        <v>3.0366762768919919</v>
      </c>
    </row>
    <row r="18" spans="1:5" x14ac:dyDescent="0.25">
      <c r="A18" s="2">
        <f>Score_altman(A!A18,A!B18,A!C18,A!D18,A!E18,A!F18,A!G18)</f>
        <v>3.5230330913589354</v>
      </c>
      <c r="B18" s="2">
        <f>Score_altman(B!A18,B!B18,B!C18,B!D18,B!E18,B!F18,B!G18)</f>
        <v>2.743339899722717</v>
      </c>
      <c r="C18" s="2">
        <f>Score_altman('C'!A18,'C'!B18,'C'!C18,'C'!D18,'C'!E18,'C'!F18,'C'!G18)</f>
        <v>5.2547245963911937</v>
      </c>
      <c r="D18" s="2">
        <f>Score_altman(D!A18,D!B18,D!C18,D!D18,D!E18,D!F18,D!G18)</f>
        <v>3.2717101903651744</v>
      </c>
      <c r="E18" s="2">
        <f>Score_altman(E!A18,E!B18,E!C18,E!D18,E!E18,E!F18,E!G18)</f>
        <v>1.1467670445121458</v>
      </c>
    </row>
    <row r="19" spans="1:5" x14ac:dyDescent="0.25">
      <c r="A19" s="2">
        <f>Score_altman(A!A19,A!B19,A!C19,A!D19,A!E19,A!F19,A!G19)</f>
        <v>1.8988383344806765</v>
      </c>
      <c r="B19" s="2">
        <f>Score_altman(B!A19,B!B19,B!C19,B!D19,B!E19,B!F19,B!G19)</f>
        <v>1.0442274461724208</v>
      </c>
      <c r="C19" s="2">
        <f>Score_altman('C'!A19,'C'!B19,'C'!C19,'C'!D19,'C'!E19,'C'!F19,'C'!G19)</f>
        <v>3.4091640861002981</v>
      </c>
      <c r="D19" s="2">
        <f>Score_altman(D!A19,D!B19,D!C19,D!D19,D!E19,D!F19,D!G19)</f>
        <v>1.347695983052284E-2</v>
      </c>
      <c r="E19" s="2">
        <f>Score_altman(E!A19,E!B19,E!C19,E!D19,E!E19,E!F19,E!G19)</f>
        <v>1.878824406879916</v>
      </c>
    </row>
    <row r="20" spans="1:5" x14ac:dyDescent="0.25">
      <c r="A20" s="2">
        <f>Score_altman(A!A20,A!B20,A!C20,A!D20,A!E20,A!F20,A!G20)</f>
        <v>3.1459706609122224</v>
      </c>
      <c r="B20" s="2">
        <f>Score_altman(B!A20,B!B20,B!C20,B!D20,B!E20,B!F20,B!G20)</f>
        <v>4.5370195511143807</v>
      </c>
      <c r="C20" s="2">
        <f>Score_altman('C'!A20,'C'!B20,'C'!C20,'C'!D20,'C'!E20,'C'!F20,'C'!G20)</f>
        <v>1.4680943888192191</v>
      </c>
      <c r="D20" s="2">
        <f>Score_altman(D!A20,D!B20,D!C20,D!D20,D!E20,D!F20,D!G20)</f>
        <v>4.8025239596003333</v>
      </c>
      <c r="E20" s="2">
        <f>Score_altman(E!A20,E!B20,E!C20,E!D20,E!E20,E!F20,E!G20)</f>
        <v>2.0104005588575595</v>
      </c>
    </row>
    <row r="21" spans="1:5" x14ac:dyDescent="0.25">
      <c r="A21" s="2">
        <f>Score_altman(A!A21,A!B21,A!C21,A!D21,A!E21,A!F21,A!G21)</f>
        <v>0.45055122813451226</v>
      </c>
      <c r="B21" s="2">
        <f>Score_altman(B!A21,B!B21,B!C21,B!D21,B!E21,B!F21,B!G21)</f>
        <v>2.4973173875417505</v>
      </c>
      <c r="C21" s="2">
        <f>Score_altman('C'!A21,'C'!B21,'C'!C21,'C'!D21,'C'!E21,'C'!F21,'C'!G21)</f>
        <v>3.3884479727894741</v>
      </c>
      <c r="D21" s="2">
        <f>Score_altman(D!A21,D!B21,D!C21,D!D21,D!E21,D!F21,D!G21)</f>
        <v>0.47106729341892833</v>
      </c>
      <c r="E21" s="2">
        <f>Score_altman(E!A21,E!B21,E!C21,E!D21,E!E21,E!F21,E!G21)</f>
        <v>2.0497051567529807</v>
      </c>
    </row>
  </sheetData>
  <conditionalFormatting sqref="A1:E21 K1 G1:I1">
    <cfRule type="colorScale" priority="4">
      <colorScale>
        <cfvo type="num" val="&quot;1.81&quot;"/>
        <cfvo type="num" val="&quot;2.4&quot;"/>
        <cfvo type="num" val="&quot;2.99&quot;"/>
        <color rgb="FFFF0000"/>
        <color rgb="FFFFFF00"/>
        <color rgb="FF00B050"/>
      </colorScale>
    </cfRule>
    <cfRule type="colorScale" priority="5">
      <colorScale>
        <cfvo type="num" val="&quot;1.81&quot;"/>
        <cfvo type="num" val="&quot;2.4&quot;"/>
        <cfvo type="num" val="&quot;2.99&quot;"/>
        <color rgb="FFFF0000"/>
        <color rgb="FFFFFF00"/>
        <color rgb="FF00B050"/>
      </colorScale>
    </cfRule>
  </conditionalFormatting>
  <conditionalFormatting sqref="A2:E21">
    <cfRule type="colorScale" priority="2">
      <colorScale>
        <cfvo type="num" val="1.81"/>
        <cfvo type="num" val="2.4"/>
        <cfvo type="num" val="2.99"/>
        <color rgb="FFFF0000"/>
        <color rgb="FFFFFF00"/>
        <color rgb="FF00B050"/>
      </colorScale>
    </cfRule>
    <cfRule type="colorScale" priority="3">
      <colorScale>
        <cfvo type="num" val="&quot;1.81&quot;"/>
        <cfvo type="num" val="&quot;2.4&quot;"/>
        <cfvo type="num" val="&quot;2.99&quot;"/>
        <color rgb="FFFF0000"/>
        <color rgb="FFFFFF00"/>
        <color rgb="FF00B050"/>
      </colorScale>
    </cfRule>
  </conditionalFormatting>
  <conditionalFormatting sqref="A1:E21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I42"/>
  <sheetViews>
    <sheetView topLeftCell="A22" workbookViewId="0">
      <selection activeCell="A29" sqref="A29:G35"/>
    </sheetView>
  </sheetViews>
  <sheetFormatPr baseColWidth="10" defaultRowHeight="15" x14ac:dyDescent="0.25"/>
  <sheetData>
    <row r="1" spans="1:9" x14ac:dyDescent="0.25">
      <c r="A1" t="s">
        <v>17</v>
      </c>
    </row>
    <row r="2" spans="1:9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I2" s="1"/>
    </row>
    <row r="3" spans="1:9" x14ac:dyDescent="0.25">
      <c r="A3" s="1">
        <v>5697159</v>
      </c>
      <c r="B3" s="1">
        <v>3196660</v>
      </c>
      <c r="C3" s="1">
        <v>24032434</v>
      </c>
      <c r="D3" s="1">
        <v>3096660</v>
      </c>
      <c r="E3" s="1">
        <v>123104</v>
      </c>
      <c r="F3" s="1">
        <v>18335275</v>
      </c>
      <c r="G3" s="1">
        <v>3669992</v>
      </c>
    </row>
    <row r="4" spans="1:9" x14ac:dyDescent="0.25">
      <c r="A4" s="1">
        <v>7220041</v>
      </c>
      <c r="B4" s="1">
        <v>3141192</v>
      </c>
      <c r="C4" s="1">
        <v>19726999</v>
      </c>
      <c r="D4" s="1">
        <v>3041192</v>
      </c>
      <c r="E4" s="1">
        <v>113888</v>
      </c>
      <c r="F4" s="1">
        <v>12506958</v>
      </c>
      <c r="G4" s="1">
        <v>3469461</v>
      </c>
    </row>
    <row r="5" spans="1:9" x14ac:dyDescent="0.25">
      <c r="A5" s="1">
        <v>162202</v>
      </c>
      <c r="B5" s="1">
        <v>2707649</v>
      </c>
      <c r="C5" s="1">
        <v>23575056</v>
      </c>
      <c r="D5" s="1">
        <v>2607649</v>
      </c>
      <c r="E5" s="1">
        <v>245758</v>
      </c>
      <c r="F5" s="1">
        <v>23412854</v>
      </c>
      <c r="G5" s="1">
        <v>3471145</v>
      </c>
    </row>
    <row r="6" spans="1:9" x14ac:dyDescent="0.25">
      <c r="A6" s="1">
        <v>10279145</v>
      </c>
      <c r="B6" s="1">
        <v>4100015</v>
      </c>
      <c r="C6" s="1">
        <v>20671895</v>
      </c>
      <c r="D6" s="1">
        <v>4000015</v>
      </c>
      <c r="E6" s="1">
        <v>340240</v>
      </c>
      <c r="F6" s="1">
        <v>10392750</v>
      </c>
      <c r="G6" s="1">
        <v>4899009</v>
      </c>
    </row>
    <row r="7" spans="1:9" x14ac:dyDescent="0.25">
      <c r="A7" s="1">
        <v>-816657</v>
      </c>
      <c r="B7" s="1">
        <v>3314632</v>
      </c>
      <c r="C7" s="1">
        <v>15620529</v>
      </c>
      <c r="D7" s="1">
        <v>3214632</v>
      </c>
      <c r="E7" s="1">
        <v>223387</v>
      </c>
      <c r="F7" s="1">
        <v>16437186</v>
      </c>
      <c r="G7" s="1">
        <v>4061840</v>
      </c>
    </row>
    <row r="8" spans="1:9" x14ac:dyDescent="0.25">
      <c r="A8" s="1">
        <v>-4693175</v>
      </c>
      <c r="B8" s="1">
        <v>2622315</v>
      </c>
      <c r="C8" s="1">
        <v>14177487</v>
      </c>
      <c r="D8" s="1">
        <v>2522315</v>
      </c>
      <c r="E8" s="1">
        <v>407920</v>
      </c>
      <c r="F8" s="1">
        <v>18870662</v>
      </c>
      <c r="G8" s="1">
        <v>2986883</v>
      </c>
    </row>
    <row r="9" spans="1:9" x14ac:dyDescent="0.25">
      <c r="A9" s="1">
        <v>-5685903</v>
      </c>
      <c r="B9" s="1">
        <v>2132209</v>
      </c>
      <c r="C9" s="1">
        <v>12453407</v>
      </c>
      <c r="D9" s="1">
        <v>2032209</v>
      </c>
      <c r="E9" s="1">
        <v>308071</v>
      </c>
      <c r="F9" s="1">
        <v>18139310</v>
      </c>
      <c r="G9" s="1">
        <v>2642118</v>
      </c>
    </row>
    <row r="10" spans="1:9" x14ac:dyDescent="0.25">
      <c r="A10" s="1"/>
      <c r="B10" s="1"/>
      <c r="C10" s="1"/>
      <c r="D10" s="1"/>
      <c r="E10" s="1"/>
      <c r="F10" s="1"/>
      <c r="G10" s="1"/>
    </row>
    <row r="11" spans="1:9" x14ac:dyDescent="0.25">
      <c r="A11" s="1" t="s">
        <v>16</v>
      </c>
      <c r="B11" s="1"/>
      <c r="C11" s="1"/>
      <c r="D11" s="1"/>
      <c r="E11" s="1"/>
      <c r="F11" s="1"/>
      <c r="G11" s="1"/>
    </row>
    <row r="12" spans="1:9" x14ac:dyDescent="0.25">
      <c r="A12" s="1" t="s">
        <v>0</v>
      </c>
      <c r="B12" s="1" t="s">
        <v>1</v>
      </c>
      <c r="C12" s="1" t="s">
        <v>2</v>
      </c>
      <c r="D12" s="1" t="s">
        <v>3</v>
      </c>
      <c r="E12" s="1" t="s">
        <v>4</v>
      </c>
      <c r="F12" s="1" t="s">
        <v>5</v>
      </c>
      <c r="G12" s="1" t="s">
        <v>6</v>
      </c>
    </row>
    <row r="13" spans="1:9" x14ac:dyDescent="0.25">
      <c r="A13" s="1">
        <v>-4705002</v>
      </c>
      <c r="B13" s="1">
        <v>49854</v>
      </c>
      <c r="C13" s="1">
        <v>12760474</v>
      </c>
      <c r="D13" s="1">
        <v>-50146</v>
      </c>
      <c r="E13" s="1">
        <v>264554</v>
      </c>
      <c r="F13" s="1">
        <v>17465476</v>
      </c>
      <c r="G13" s="1">
        <v>1009722</v>
      </c>
    </row>
    <row r="14" spans="1:9" x14ac:dyDescent="0.25">
      <c r="A14" s="1">
        <v>-8007787</v>
      </c>
      <c r="B14" s="1">
        <v>2257975</v>
      </c>
      <c r="C14" s="1">
        <v>13637467</v>
      </c>
      <c r="D14" s="1">
        <v>2157975</v>
      </c>
      <c r="E14" s="1">
        <v>225825</v>
      </c>
      <c r="F14" s="1">
        <v>21645254</v>
      </c>
      <c r="G14" s="1">
        <v>3042758</v>
      </c>
    </row>
    <row r="15" spans="1:9" x14ac:dyDescent="0.25">
      <c r="A15" s="1">
        <v>9684313</v>
      </c>
      <c r="B15" s="1">
        <v>4759231</v>
      </c>
      <c r="C15" s="1">
        <v>22248542</v>
      </c>
      <c r="D15" s="1">
        <v>4659231</v>
      </c>
      <c r="E15" s="1">
        <v>344243</v>
      </c>
      <c r="F15" s="1">
        <v>12564229</v>
      </c>
      <c r="G15" s="1">
        <v>5569819</v>
      </c>
    </row>
    <row r="16" spans="1:9" x14ac:dyDescent="0.25">
      <c r="A16" s="1">
        <v>5206084</v>
      </c>
      <c r="B16" s="1">
        <v>2402015</v>
      </c>
      <c r="C16" s="1">
        <v>21742356</v>
      </c>
      <c r="D16" s="1">
        <v>2302015</v>
      </c>
      <c r="E16" s="1">
        <v>148290</v>
      </c>
      <c r="F16" s="1">
        <v>16536272</v>
      </c>
      <c r="G16" s="1">
        <v>2694615</v>
      </c>
    </row>
    <row r="17" spans="1:7" x14ac:dyDescent="0.25">
      <c r="A17" s="1">
        <v>9567109</v>
      </c>
      <c r="B17" s="1">
        <v>2080415</v>
      </c>
      <c r="C17" s="1">
        <v>23002305</v>
      </c>
      <c r="D17" s="1">
        <v>1980415</v>
      </c>
      <c r="E17" s="1">
        <v>199289</v>
      </c>
      <c r="F17" s="1">
        <v>13435196</v>
      </c>
      <c r="G17" s="1">
        <v>2915591</v>
      </c>
    </row>
    <row r="19" spans="1:7" x14ac:dyDescent="0.25">
      <c r="A19" t="s">
        <v>18</v>
      </c>
    </row>
    <row r="20" spans="1:7" x14ac:dyDescent="0.25">
      <c r="A20" s="1" t="s">
        <v>0</v>
      </c>
      <c r="B20" s="1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</row>
    <row r="21" spans="1:7" x14ac:dyDescent="0.25">
      <c r="A21" s="1">
        <v>5640419</v>
      </c>
      <c r="B21" s="1">
        <v>5228828</v>
      </c>
      <c r="C21" s="1">
        <v>25743034</v>
      </c>
      <c r="D21" s="1">
        <v>5128828</v>
      </c>
      <c r="E21" s="1">
        <v>306697</v>
      </c>
      <c r="F21" s="1">
        <v>20102615</v>
      </c>
      <c r="G21" s="1">
        <v>6114153</v>
      </c>
    </row>
    <row r="22" spans="1:7" x14ac:dyDescent="0.25">
      <c r="A22" s="1">
        <v>-3225736</v>
      </c>
      <c r="B22" s="1">
        <v>4960797</v>
      </c>
      <c r="C22" s="1">
        <v>19580822</v>
      </c>
      <c r="D22" s="1">
        <v>4860797</v>
      </c>
      <c r="E22" s="1">
        <v>365350</v>
      </c>
      <c r="F22" s="1">
        <v>22806558</v>
      </c>
      <c r="G22" s="1">
        <v>5597803</v>
      </c>
    </row>
    <row r="23" spans="1:7" x14ac:dyDescent="0.25">
      <c r="A23" s="1">
        <v>1524804</v>
      </c>
      <c r="B23" s="1">
        <v>5173541</v>
      </c>
      <c r="C23" s="1">
        <v>17658795</v>
      </c>
      <c r="D23" s="1">
        <v>5073541</v>
      </c>
      <c r="E23" s="1">
        <v>449026</v>
      </c>
      <c r="F23" s="1">
        <v>16133991</v>
      </c>
      <c r="G23" s="1">
        <v>5878212</v>
      </c>
    </row>
    <row r="24" spans="1:7" x14ac:dyDescent="0.25">
      <c r="A24" s="1">
        <v>1153126</v>
      </c>
      <c r="B24" s="1">
        <v>3656309</v>
      </c>
      <c r="C24" s="1">
        <v>22435472</v>
      </c>
      <c r="D24" s="1">
        <v>3556309</v>
      </c>
      <c r="E24" s="1">
        <v>370975</v>
      </c>
      <c r="F24" s="1">
        <v>21282346</v>
      </c>
      <c r="G24" s="1">
        <v>4634339</v>
      </c>
    </row>
    <row r="25" spans="1:7" x14ac:dyDescent="0.25">
      <c r="A25" s="1">
        <v>-12405719</v>
      </c>
      <c r="B25" s="1">
        <v>749472</v>
      </c>
      <c r="C25" s="1">
        <v>11625342</v>
      </c>
      <c r="D25" s="1">
        <v>649472</v>
      </c>
      <c r="E25" s="1">
        <v>485882</v>
      </c>
      <c r="F25" s="1">
        <v>24031061</v>
      </c>
      <c r="G25" s="1">
        <v>1704025</v>
      </c>
    </row>
    <row r="26" spans="1:7" x14ac:dyDescent="0.25">
      <c r="A26" s="1">
        <v>4585375</v>
      </c>
      <c r="B26" s="1">
        <v>3051865</v>
      </c>
      <c r="C26" s="1">
        <v>16049610</v>
      </c>
      <c r="D26" s="1">
        <v>2951865</v>
      </c>
      <c r="E26" s="1">
        <v>461580</v>
      </c>
      <c r="F26" s="1">
        <v>11464235</v>
      </c>
      <c r="G26" s="1">
        <v>3695361</v>
      </c>
    </row>
    <row r="28" spans="1:7" x14ac:dyDescent="0.25">
      <c r="A28" t="s">
        <v>19</v>
      </c>
    </row>
    <row r="29" spans="1:7" x14ac:dyDescent="0.25">
      <c r="A29" s="1" t="s">
        <v>0</v>
      </c>
      <c r="B29" s="1" t="s">
        <v>1</v>
      </c>
      <c r="C29" s="1" t="s">
        <v>2</v>
      </c>
      <c r="D29" s="1" t="s">
        <v>3</v>
      </c>
      <c r="E29" s="1" t="s">
        <v>4</v>
      </c>
      <c r="F29" s="1" t="s">
        <v>5</v>
      </c>
      <c r="G29" s="1" t="s">
        <v>6</v>
      </c>
    </row>
    <row r="30" spans="1:7" x14ac:dyDescent="0.25">
      <c r="A30" s="1">
        <v>2658190</v>
      </c>
      <c r="B30" s="1">
        <v>5882746</v>
      </c>
      <c r="C30" s="1">
        <v>24548838</v>
      </c>
      <c r="D30" s="1">
        <v>5782746</v>
      </c>
      <c r="E30" s="1">
        <v>189074</v>
      </c>
      <c r="F30" s="1">
        <v>21890648</v>
      </c>
      <c r="G30" s="1">
        <v>6665520</v>
      </c>
    </row>
    <row r="31" spans="1:7" x14ac:dyDescent="0.25">
      <c r="A31" s="1">
        <v>-3924307</v>
      </c>
      <c r="B31" s="1">
        <v>2011386</v>
      </c>
      <c r="C31" s="1">
        <v>20764602</v>
      </c>
      <c r="D31" s="1">
        <v>1911386</v>
      </c>
      <c r="E31" s="1">
        <v>231851</v>
      </c>
      <c r="F31" s="1">
        <v>24688909</v>
      </c>
      <c r="G31" s="1">
        <v>2140499</v>
      </c>
    </row>
    <row r="32" spans="1:7" x14ac:dyDescent="0.25">
      <c r="A32" s="1">
        <v>-5527357</v>
      </c>
      <c r="B32" s="1">
        <v>2634310</v>
      </c>
      <c r="C32" s="1">
        <v>17167143</v>
      </c>
      <c r="D32" s="1">
        <v>2534310</v>
      </c>
      <c r="E32" s="1">
        <v>225513</v>
      </c>
      <c r="F32" s="1">
        <v>22694500</v>
      </c>
      <c r="G32" s="1">
        <v>3438036</v>
      </c>
    </row>
    <row r="33" spans="1:7" x14ac:dyDescent="0.25">
      <c r="A33" s="1">
        <v>8631307</v>
      </c>
      <c r="B33" s="1">
        <v>4043264</v>
      </c>
      <c r="C33" s="1">
        <v>20863713</v>
      </c>
      <c r="D33" s="1">
        <v>3943264</v>
      </c>
      <c r="E33" s="1">
        <v>216505</v>
      </c>
      <c r="F33" s="1">
        <v>12232406</v>
      </c>
      <c r="G33" s="1">
        <v>5041157</v>
      </c>
    </row>
    <row r="34" spans="1:7" x14ac:dyDescent="0.25">
      <c r="A34" s="1">
        <v>-6873012</v>
      </c>
      <c r="B34" s="1">
        <v>1468236</v>
      </c>
      <c r="C34" s="1">
        <v>16714157</v>
      </c>
      <c r="D34" s="1">
        <v>1368236</v>
      </c>
      <c r="E34" s="1">
        <v>103916</v>
      </c>
      <c r="F34" s="1">
        <v>23587169</v>
      </c>
      <c r="G34" s="1">
        <v>1876747</v>
      </c>
    </row>
    <row r="35" spans="1:7" x14ac:dyDescent="0.25">
      <c r="A35" s="1">
        <v>-225852</v>
      </c>
      <c r="B35" s="1">
        <v>1566182</v>
      </c>
      <c r="C35" s="1">
        <v>19721372</v>
      </c>
      <c r="D35" s="1">
        <v>1466182</v>
      </c>
      <c r="E35" s="1">
        <v>478732</v>
      </c>
      <c r="F35" s="1">
        <v>19947224</v>
      </c>
      <c r="G35" s="1">
        <v>2268761</v>
      </c>
    </row>
    <row r="36" spans="1:7" x14ac:dyDescent="0.25">
      <c r="A36" s="1"/>
      <c r="B36" s="1"/>
      <c r="C36" s="1"/>
      <c r="D36" s="1"/>
      <c r="E36" s="1"/>
      <c r="F36" s="1"/>
      <c r="G36" s="1"/>
    </row>
    <row r="37" spans="1:7" x14ac:dyDescent="0.25">
      <c r="A37" s="1" t="s">
        <v>20</v>
      </c>
      <c r="B37" s="1"/>
      <c r="C37" s="1"/>
      <c r="D37" s="1"/>
      <c r="E37" s="1"/>
      <c r="F37" s="1"/>
      <c r="G37" s="1"/>
    </row>
    <row r="38" spans="1:7" x14ac:dyDescent="0.25">
      <c r="A38" s="1" t="s">
        <v>0</v>
      </c>
      <c r="B38" s="1" t="s">
        <v>1</v>
      </c>
      <c r="C38" s="1" t="s">
        <v>2</v>
      </c>
      <c r="D38" s="1" t="s">
        <v>3</v>
      </c>
      <c r="E38" s="1" t="s">
        <v>4</v>
      </c>
      <c r="F38" s="1" t="s">
        <v>5</v>
      </c>
      <c r="G38" s="1" t="s">
        <v>6</v>
      </c>
    </row>
    <row r="39" spans="1:7" x14ac:dyDescent="0.25">
      <c r="A39" s="1">
        <v>-1273462</v>
      </c>
      <c r="B39" s="1">
        <v>2532301</v>
      </c>
      <c r="C39" s="1">
        <v>14262889</v>
      </c>
      <c r="D39" s="1">
        <v>2432301</v>
      </c>
      <c r="E39" s="1">
        <v>302741</v>
      </c>
      <c r="F39" s="1">
        <v>15536351</v>
      </c>
      <c r="G39" s="1">
        <v>3461521</v>
      </c>
    </row>
    <row r="40" spans="1:7" x14ac:dyDescent="0.25">
      <c r="A40" s="1">
        <v>-127677</v>
      </c>
      <c r="B40" s="1">
        <v>4905012</v>
      </c>
      <c r="C40" s="1">
        <v>20800746</v>
      </c>
      <c r="D40" s="1">
        <v>4805012</v>
      </c>
      <c r="E40" s="1">
        <v>463601</v>
      </c>
      <c r="F40" s="1">
        <v>20928423</v>
      </c>
      <c r="G40" s="1">
        <v>5554072</v>
      </c>
    </row>
    <row r="41" spans="1:7" x14ac:dyDescent="0.25">
      <c r="A41" s="1">
        <v>190510</v>
      </c>
      <c r="B41" s="1">
        <v>701461</v>
      </c>
      <c r="C41" s="1">
        <v>15147681</v>
      </c>
      <c r="D41" s="1">
        <v>601461</v>
      </c>
      <c r="E41" s="1">
        <v>117172</v>
      </c>
      <c r="F41" s="1">
        <v>14957171</v>
      </c>
      <c r="G41" s="1">
        <v>1071900</v>
      </c>
    </row>
    <row r="42" spans="1:7" x14ac:dyDescent="0.25">
      <c r="A42" s="1">
        <v>5220520</v>
      </c>
      <c r="B42" s="1">
        <v>3143929</v>
      </c>
      <c r="C42" s="1">
        <v>21746643</v>
      </c>
      <c r="D42" s="1">
        <v>3043929</v>
      </c>
      <c r="E42" s="1">
        <v>278393</v>
      </c>
      <c r="F42" s="1">
        <v>16526123</v>
      </c>
      <c r="G42" s="1">
        <v>4047922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K50"/>
  <sheetViews>
    <sheetView topLeftCell="A43" workbookViewId="0">
      <selection sqref="A1:G50"/>
    </sheetView>
  </sheetViews>
  <sheetFormatPr baseColWidth="10" defaultRowHeight="15" x14ac:dyDescent="0.25"/>
  <sheetData>
    <row r="1" spans="1:9" x14ac:dyDescent="0.25">
      <c r="A1" t="s">
        <v>17</v>
      </c>
    </row>
    <row r="2" spans="1:9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I2" s="1"/>
    </row>
    <row r="3" spans="1:9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</row>
    <row r="4" spans="1:9" x14ac:dyDescent="0.25">
      <c r="A4" s="1">
        <v>14124528</v>
      </c>
      <c r="B4" s="1">
        <v>7460138</v>
      </c>
      <c r="C4" s="1">
        <v>24258979</v>
      </c>
      <c r="D4" s="1">
        <v>7360138</v>
      </c>
      <c r="E4" s="1">
        <v>458504</v>
      </c>
      <c r="F4" s="1">
        <v>10134451</v>
      </c>
      <c r="G4" s="1">
        <v>8241103</v>
      </c>
    </row>
    <row r="5" spans="1:9" x14ac:dyDescent="0.25">
      <c r="A5" s="1">
        <v>1559563</v>
      </c>
      <c r="B5" s="1">
        <v>8221100</v>
      </c>
      <c r="C5" s="1">
        <v>19201074</v>
      </c>
      <c r="D5" s="1">
        <v>8121100</v>
      </c>
      <c r="E5" s="1">
        <v>410821</v>
      </c>
      <c r="F5" s="1">
        <v>17641511</v>
      </c>
      <c r="G5" s="1">
        <v>8583139</v>
      </c>
    </row>
    <row r="6" spans="1:9" x14ac:dyDescent="0.25">
      <c r="A6" s="1">
        <v>-7705792</v>
      </c>
      <c r="B6" s="1">
        <v>6297910</v>
      </c>
      <c r="C6" s="1">
        <v>13749043</v>
      </c>
      <c r="D6" s="1">
        <v>6197910</v>
      </c>
      <c r="E6" s="1">
        <v>223844</v>
      </c>
      <c r="F6" s="1">
        <v>21454835</v>
      </c>
      <c r="G6" s="1">
        <v>7004684</v>
      </c>
    </row>
    <row r="7" spans="1:9" x14ac:dyDescent="0.25">
      <c r="A7" s="1">
        <v>11803165</v>
      </c>
      <c r="B7" s="1">
        <v>9120635</v>
      </c>
      <c r="C7" s="1">
        <v>24192612</v>
      </c>
      <c r="D7" s="1">
        <v>9020635</v>
      </c>
      <c r="E7" s="1">
        <v>189359</v>
      </c>
      <c r="F7" s="1">
        <v>12389447</v>
      </c>
      <c r="G7" s="1">
        <v>9397810</v>
      </c>
    </row>
    <row r="8" spans="1:9" x14ac:dyDescent="0.25">
      <c r="A8" s="1">
        <v>5183016</v>
      </c>
      <c r="B8" s="1">
        <v>8787655</v>
      </c>
      <c r="C8" s="1">
        <v>19195036</v>
      </c>
      <c r="D8" s="1">
        <v>8687655</v>
      </c>
      <c r="E8" s="1">
        <v>123284</v>
      </c>
      <c r="F8" s="1">
        <v>14012020</v>
      </c>
      <c r="G8" s="1">
        <v>9587930</v>
      </c>
    </row>
    <row r="9" spans="1:9" x14ac:dyDescent="0.25">
      <c r="A9" s="1">
        <v>2034404</v>
      </c>
      <c r="B9" s="1">
        <v>6354879</v>
      </c>
      <c r="C9" s="1">
        <v>20751230</v>
      </c>
      <c r="D9" s="1">
        <v>6254879</v>
      </c>
      <c r="E9" s="1">
        <v>326177</v>
      </c>
      <c r="F9" s="1">
        <v>18716826</v>
      </c>
      <c r="G9" s="1">
        <v>7279835</v>
      </c>
    </row>
    <row r="11" spans="1:9" x14ac:dyDescent="0.25">
      <c r="A11" t="s">
        <v>16</v>
      </c>
    </row>
    <row r="12" spans="1:9" x14ac:dyDescent="0.25">
      <c r="A12" s="1" t="s">
        <v>0</v>
      </c>
      <c r="B12" s="1" t="s">
        <v>1</v>
      </c>
      <c r="C12" s="1" t="s">
        <v>2</v>
      </c>
      <c r="D12" s="1" t="s">
        <v>3</v>
      </c>
      <c r="E12" s="1" t="s">
        <v>4</v>
      </c>
      <c r="F12" s="1" t="s">
        <v>5</v>
      </c>
      <c r="G12" s="1" t="s">
        <v>6</v>
      </c>
    </row>
    <row r="13" spans="1:9" x14ac:dyDescent="0.25">
      <c r="A13" s="1">
        <v>10239761</v>
      </c>
      <c r="B13" s="1">
        <v>7216077</v>
      </c>
      <c r="C13" s="1">
        <v>22323551</v>
      </c>
      <c r="D13" s="1">
        <v>7116077</v>
      </c>
      <c r="E13" s="1">
        <v>181379</v>
      </c>
      <c r="F13" s="1">
        <v>12083790</v>
      </c>
      <c r="G13" s="1">
        <v>7815880</v>
      </c>
    </row>
    <row r="14" spans="1:9" x14ac:dyDescent="0.25">
      <c r="A14" s="1">
        <v>-5188964</v>
      </c>
      <c r="B14" s="1">
        <v>6301456</v>
      </c>
      <c r="C14" s="1">
        <v>10585803</v>
      </c>
      <c r="D14" s="1">
        <v>6201456</v>
      </c>
      <c r="E14" s="1">
        <v>481592</v>
      </c>
      <c r="F14" s="1">
        <v>15774767</v>
      </c>
      <c r="G14" s="1">
        <v>6609908</v>
      </c>
    </row>
    <row r="15" spans="1:9" x14ac:dyDescent="0.25">
      <c r="A15" s="1">
        <v>8443487</v>
      </c>
      <c r="B15" s="1">
        <v>7677471</v>
      </c>
      <c r="C15" s="1">
        <v>18950949</v>
      </c>
      <c r="D15" s="1">
        <v>7577471</v>
      </c>
      <c r="E15" s="1">
        <v>138883</v>
      </c>
      <c r="F15" s="1">
        <v>10507462</v>
      </c>
      <c r="G15" s="1">
        <v>8442581</v>
      </c>
    </row>
    <row r="16" spans="1:9" x14ac:dyDescent="0.25">
      <c r="A16" s="1">
        <v>-10450267</v>
      </c>
      <c r="B16" s="1">
        <v>7723385</v>
      </c>
      <c r="C16" s="1">
        <v>14483512</v>
      </c>
      <c r="D16" s="1">
        <v>7623385</v>
      </c>
      <c r="E16" s="1">
        <v>363396</v>
      </c>
      <c r="F16" s="1">
        <v>24933779</v>
      </c>
      <c r="G16" s="1">
        <v>8287099</v>
      </c>
    </row>
    <row r="17" spans="1:7" x14ac:dyDescent="0.25">
      <c r="A17" s="1">
        <v>9067748</v>
      </c>
      <c r="B17" s="1">
        <v>6505027</v>
      </c>
      <c r="C17" s="1">
        <v>22729020</v>
      </c>
      <c r="D17" s="1">
        <v>6405027</v>
      </c>
      <c r="E17" s="1">
        <v>201039</v>
      </c>
      <c r="F17" s="1">
        <v>13661272</v>
      </c>
      <c r="G17" s="1">
        <v>7461786</v>
      </c>
    </row>
    <row r="18" spans="1:7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</row>
    <row r="19" spans="1:7" x14ac:dyDescent="0.25">
      <c r="A19" s="1">
        <v>-467841</v>
      </c>
      <c r="B19" s="1">
        <v>6960226</v>
      </c>
      <c r="C19" s="1">
        <v>15805880</v>
      </c>
      <c r="D19" s="1">
        <v>6860226</v>
      </c>
      <c r="E19" s="1">
        <v>207048</v>
      </c>
      <c r="F19" s="1">
        <v>16273721</v>
      </c>
      <c r="G19" s="1">
        <v>7606049</v>
      </c>
    </row>
    <row r="21" spans="1:7" x14ac:dyDescent="0.25">
      <c r="A21" t="s">
        <v>18</v>
      </c>
    </row>
    <row r="22" spans="1:7" x14ac:dyDescent="0.25">
      <c r="A22" s="1" t="s">
        <v>0</v>
      </c>
      <c r="B22" s="1" t="s">
        <v>1</v>
      </c>
      <c r="C22" s="1" t="s">
        <v>2</v>
      </c>
      <c r="D22" s="1" t="s">
        <v>3</v>
      </c>
      <c r="E22" s="1" t="s">
        <v>4</v>
      </c>
      <c r="F22" s="1" t="s">
        <v>5</v>
      </c>
      <c r="G22" s="1" t="s">
        <v>6</v>
      </c>
    </row>
    <row r="23" spans="1:7" x14ac:dyDescent="0.25">
      <c r="A23" s="1">
        <v>-4071868</v>
      </c>
      <c r="B23" s="1">
        <v>8971976</v>
      </c>
      <c r="C23" s="1">
        <v>15701038</v>
      </c>
      <c r="D23" s="1">
        <v>8871976</v>
      </c>
      <c r="E23" s="1">
        <v>203124</v>
      </c>
      <c r="F23" s="1">
        <v>19772906</v>
      </c>
      <c r="G23" s="1">
        <v>9253255</v>
      </c>
    </row>
    <row r="24" spans="1:7" x14ac:dyDescent="0.25">
      <c r="A24" s="1">
        <v>792206</v>
      </c>
      <c r="B24" s="1">
        <v>10563750</v>
      </c>
      <c r="C24" s="1">
        <v>22159962</v>
      </c>
      <c r="D24" s="1">
        <v>10463750</v>
      </c>
      <c r="E24" s="1">
        <v>208170</v>
      </c>
      <c r="F24" s="1">
        <v>21367756</v>
      </c>
      <c r="G24" s="1">
        <v>10921264</v>
      </c>
    </row>
    <row r="25" spans="1:7" x14ac:dyDescent="0.25">
      <c r="A25" s="1">
        <v>4210530</v>
      </c>
      <c r="B25" s="1">
        <v>8992874</v>
      </c>
      <c r="C25" s="1">
        <v>19122529</v>
      </c>
      <c r="D25" s="1">
        <v>8892874</v>
      </c>
      <c r="E25" s="1">
        <v>255600</v>
      </c>
      <c r="F25" s="1">
        <v>14911999</v>
      </c>
      <c r="G25" s="1">
        <v>9287741</v>
      </c>
    </row>
    <row r="26" spans="1:7" x14ac:dyDescent="0.25">
      <c r="A26" s="1">
        <v>4819843</v>
      </c>
      <c r="B26" s="1">
        <v>6813112</v>
      </c>
      <c r="C26" s="1">
        <v>23154062</v>
      </c>
      <c r="D26" s="1">
        <v>6713112</v>
      </c>
      <c r="E26" s="1">
        <v>266841</v>
      </c>
      <c r="F26" s="1">
        <v>18334219</v>
      </c>
      <c r="G26" s="1">
        <v>7410181</v>
      </c>
    </row>
    <row r="27" spans="1:7" x14ac:dyDescent="0.25">
      <c r="A27" s="1">
        <v>-1946723</v>
      </c>
      <c r="B27" s="1">
        <v>6728620</v>
      </c>
      <c r="C27" s="1">
        <v>15406364</v>
      </c>
      <c r="D27" s="1">
        <v>6628620</v>
      </c>
      <c r="E27" s="1">
        <v>228340</v>
      </c>
      <c r="F27" s="1">
        <v>17353087</v>
      </c>
      <c r="G27" s="1">
        <v>6896293</v>
      </c>
    </row>
    <row r="28" spans="1:7" x14ac:dyDescent="0.25">
      <c r="A28" s="1">
        <v>2101397</v>
      </c>
      <c r="B28" s="1">
        <v>8502703</v>
      </c>
      <c r="C28" s="1">
        <v>20815120</v>
      </c>
      <c r="D28" s="1">
        <v>8402703</v>
      </c>
      <c r="E28" s="1">
        <v>309383</v>
      </c>
      <c r="F28" s="1">
        <v>18713723</v>
      </c>
      <c r="G28" s="1">
        <v>9212010</v>
      </c>
    </row>
    <row r="30" spans="1:7" x14ac:dyDescent="0.25">
      <c r="A30" t="s">
        <v>19</v>
      </c>
    </row>
    <row r="31" spans="1:7" x14ac:dyDescent="0.25">
      <c r="A31" s="1" t="s">
        <v>0</v>
      </c>
      <c r="B31" s="1" t="s">
        <v>1</v>
      </c>
      <c r="C31" s="1" t="s">
        <v>2</v>
      </c>
      <c r="D31" s="1" t="s">
        <v>3</v>
      </c>
      <c r="E31" s="1" t="s">
        <v>4</v>
      </c>
      <c r="F31" s="1" t="s">
        <v>5</v>
      </c>
      <c r="G31" s="1" t="s">
        <v>6</v>
      </c>
    </row>
    <row r="32" spans="1:7" x14ac:dyDescent="0.25">
      <c r="A32" s="1">
        <v>8695609</v>
      </c>
      <c r="B32" s="1">
        <v>5934684</v>
      </c>
      <c r="C32" s="1">
        <v>21803518</v>
      </c>
      <c r="D32" s="1">
        <v>5834684</v>
      </c>
      <c r="E32" s="1">
        <v>478604</v>
      </c>
      <c r="F32" s="1">
        <v>13107909</v>
      </c>
      <c r="G32" s="1">
        <v>6794410</v>
      </c>
    </row>
    <row r="33" spans="1:11" x14ac:dyDescent="0.25">
      <c r="A33" s="1">
        <v>11842621</v>
      </c>
      <c r="B33" s="1">
        <v>5946111</v>
      </c>
      <c r="C33" s="1">
        <v>23514900</v>
      </c>
      <c r="D33" s="1">
        <v>5846111</v>
      </c>
      <c r="E33" s="1">
        <v>445298</v>
      </c>
      <c r="F33" s="1">
        <v>11672279</v>
      </c>
      <c r="G33" s="1">
        <v>6142666</v>
      </c>
    </row>
    <row r="34" spans="1:11" x14ac:dyDescent="0.25">
      <c r="A34" s="1">
        <v>4948429</v>
      </c>
      <c r="B34" s="1">
        <v>6452618</v>
      </c>
      <c r="C34" s="1">
        <v>23486157</v>
      </c>
      <c r="D34" s="1">
        <v>6352618</v>
      </c>
      <c r="E34" s="1">
        <v>323819</v>
      </c>
      <c r="F34" s="1">
        <v>18537728</v>
      </c>
      <c r="G34" s="1">
        <v>6902284</v>
      </c>
    </row>
    <row r="35" spans="1:11" x14ac:dyDescent="0.25">
      <c r="A35" s="1">
        <v>-1437436</v>
      </c>
      <c r="B35" s="1">
        <v>9825695</v>
      </c>
      <c r="C35" s="1">
        <v>23468782</v>
      </c>
      <c r="D35" s="1">
        <v>9725695</v>
      </c>
      <c r="E35" s="1">
        <v>182774</v>
      </c>
      <c r="F35" s="1">
        <v>24906218</v>
      </c>
      <c r="G35" s="1">
        <v>9941860</v>
      </c>
    </row>
    <row r="36" spans="1:11" x14ac:dyDescent="0.25">
      <c r="A36" s="1">
        <v>3215388</v>
      </c>
      <c r="B36" s="1">
        <v>10563993</v>
      </c>
      <c r="C36" s="1">
        <v>22907859</v>
      </c>
      <c r="D36" s="1">
        <v>10463993</v>
      </c>
      <c r="E36" s="1">
        <v>160618</v>
      </c>
      <c r="F36" s="1">
        <v>19692471</v>
      </c>
      <c r="G36" s="1">
        <v>11242611</v>
      </c>
      <c r="K36" t="s">
        <v>21</v>
      </c>
    </row>
    <row r="37" spans="1:11" x14ac:dyDescent="0.25">
      <c r="A37" s="1">
        <v>8428979</v>
      </c>
      <c r="B37" s="1">
        <v>5310524</v>
      </c>
      <c r="C37" s="1">
        <v>18437602</v>
      </c>
      <c r="D37" s="1">
        <v>5210524</v>
      </c>
      <c r="E37" s="1">
        <v>184084</v>
      </c>
      <c r="F37" s="1">
        <v>10008623</v>
      </c>
      <c r="G37" s="1">
        <v>5946934</v>
      </c>
    </row>
    <row r="39" spans="1:11" x14ac:dyDescent="0.25">
      <c r="A39" t="s">
        <v>20</v>
      </c>
    </row>
    <row r="40" spans="1:11" x14ac:dyDescent="0.25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</row>
    <row r="41" spans="1:11" x14ac:dyDescent="0.25">
      <c r="A41" s="1">
        <v>-2952448</v>
      </c>
      <c r="B41" s="1">
        <v>6526653</v>
      </c>
      <c r="C41" s="1">
        <v>17329098</v>
      </c>
      <c r="D41" s="1">
        <v>6426653</v>
      </c>
      <c r="E41" s="1">
        <v>295961</v>
      </c>
      <c r="F41" s="1">
        <v>20281546</v>
      </c>
      <c r="G41" s="1">
        <v>7420602</v>
      </c>
    </row>
    <row r="42" spans="1:11" x14ac:dyDescent="0.25">
      <c r="A42" s="1">
        <v>1543361</v>
      </c>
      <c r="B42" s="1">
        <v>6638859</v>
      </c>
      <c r="C42" s="1">
        <v>21352018</v>
      </c>
      <c r="D42" s="1">
        <v>6538859</v>
      </c>
      <c r="E42" s="1">
        <v>223577</v>
      </c>
      <c r="F42" s="1">
        <v>19808657</v>
      </c>
      <c r="G42" s="1">
        <v>7089111</v>
      </c>
    </row>
    <row r="43" spans="1:11" x14ac:dyDescent="0.25">
      <c r="A43" s="1">
        <v>-5243746</v>
      </c>
      <c r="B43" s="1">
        <v>9332375</v>
      </c>
      <c r="C43" s="1">
        <v>19695101</v>
      </c>
      <c r="D43" s="1">
        <v>9232375</v>
      </c>
      <c r="E43" s="1">
        <v>494116</v>
      </c>
      <c r="F43" s="1">
        <v>24938847</v>
      </c>
      <c r="G43" s="1">
        <v>9470754</v>
      </c>
    </row>
    <row r="44" spans="1:11" x14ac:dyDescent="0.25">
      <c r="A44" s="1">
        <v>-10634262</v>
      </c>
      <c r="B44" s="1">
        <v>6572345</v>
      </c>
      <c r="C44" s="1">
        <v>12962398</v>
      </c>
      <c r="D44" s="1">
        <v>6472345</v>
      </c>
      <c r="E44" s="1">
        <v>274535</v>
      </c>
      <c r="F44" s="1">
        <v>23596660</v>
      </c>
      <c r="G44" s="1">
        <v>7083771</v>
      </c>
    </row>
    <row r="45" spans="1:11" x14ac:dyDescent="0.25">
      <c r="A45" s="1">
        <v>-2703333</v>
      </c>
      <c r="B45" s="1">
        <v>5781080</v>
      </c>
      <c r="C45" s="1">
        <v>13847753</v>
      </c>
      <c r="D45" s="1">
        <v>5681080</v>
      </c>
      <c r="E45" s="1">
        <v>144752</v>
      </c>
      <c r="F45" s="1">
        <v>16551086</v>
      </c>
      <c r="G45" s="1">
        <v>5983331</v>
      </c>
    </row>
    <row r="46" spans="1:11" x14ac:dyDescent="0.25">
      <c r="A46" s="1">
        <v>2649626</v>
      </c>
      <c r="B46" s="1">
        <v>5619720</v>
      </c>
      <c r="C46" s="1">
        <v>16789369</v>
      </c>
      <c r="D46" s="1">
        <v>5519720</v>
      </c>
      <c r="E46" s="1">
        <v>158010</v>
      </c>
      <c r="F46" s="1">
        <v>14139743</v>
      </c>
      <c r="G46" s="1">
        <v>5972295</v>
      </c>
    </row>
    <row r="47" spans="1:11" x14ac:dyDescent="0.25">
      <c r="A47" s="1">
        <v>-7959666</v>
      </c>
      <c r="B47" s="1">
        <v>8159588</v>
      </c>
      <c r="C47" s="1">
        <v>12550453</v>
      </c>
      <c r="D47" s="1">
        <v>8059588</v>
      </c>
      <c r="E47" s="1">
        <v>448773</v>
      </c>
      <c r="F47" s="1">
        <v>20510119</v>
      </c>
      <c r="G47" s="1">
        <v>8465488</v>
      </c>
    </row>
    <row r="48" spans="1:11" x14ac:dyDescent="0.25">
      <c r="A48" s="1">
        <v>-3704886</v>
      </c>
      <c r="B48" s="1">
        <v>7581114</v>
      </c>
      <c r="C48" s="1">
        <v>20640504</v>
      </c>
      <c r="D48" s="1">
        <v>7481114</v>
      </c>
      <c r="E48" s="1">
        <v>223073</v>
      </c>
      <c r="F48" s="1">
        <v>24345390</v>
      </c>
      <c r="G48" s="1">
        <v>7889934</v>
      </c>
    </row>
    <row r="49" spans="1:7" x14ac:dyDescent="0.25">
      <c r="A49" s="1">
        <v>1331058</v>
      </c>
      <c r="B49" s="1">
        <v>5193889</v>
      </c>
      <c r="C49" s="1">
        <v>15605653</v>
      </c>
      <c r="D49" s="1">
        <v>5093889</v>
      </c>
      <c r="E49" s="1">
        <v>260482</v>
      </c>
      <c r="F49" s="1">
        <v>14274595</v>
      </c>
      <c r="G49" s="1">
        <v>5580003</v>
      </c>
    </row>
    <row r="50" spans="1:7" x14ac:dyDescent="0.25">
      <c r="A50" s="1">
        <v>575770</v>
      </c>
      <c r="B50" s="1">
        <v>5416779</v>
      </c>
      <c r="C50" s="1">
        <v>15557689</v>
      </c>
      <c r="D50" s="1">
        <v>5316779</v>
      </c>
      <c r="E50" s="1">
        <v>406955</v>
      </c>
      <c r="F50" s="1">
        <v>14981919</v>
      </c>
      <c r="G50" s="1">
        <v>5874074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R51"/>
  <sheetViews>
    <sheetView topLeftCell="A25" zoomScale="80" zoomScaleNormal="80" workbookViewId="0">
      <selection activeCell="H50" sqref="H50"/>
    </sheetView>
  </sheetViews>
  <sheetFormatPr baseColWidth="10" defaultRowHeight="15" x14ac:dyDescent="0.25"/>
  <cols>
    <col min="8" max="8" width="11.42578125" style="8"/>
    <col min="18" max="18" width="11.42578125" style="8"/>
  </cols>
  <sheetData>
    <row r="1" spans="1:18" x14ac:dyDescent="0.25">
      <c r="A1" s="7" t="s">
        <v>22</v>
      </c>
      <c r="K1" s="10" t="s">
        <v>23</v>
      </c>
    </row>
    <row r="2" spans="1:18" x14ac:dyDescent="0.25">
      <c r="A2" t="s">
        <v>17</v>
      </c>
      <c r="K2" t="s">
        <v>17</v>
      </c>
    </row>
    <row r="3" spans="1:18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s="8" t="s">
        <v>15</v>
      </c>
      <c r="K3" s="1" t="s">
        <v>0</v>
      </c>
      <c r="L3" s="1" t="s">
        <v>1</v>
      </c>
      <c r="M3" s="1" t="s">
        <v>2</v>
      </c>
      <c r="N3" s="1" t="s">
        <v>3</v>
      </c>
      <c r="O3" s="1" t="s">
        <v>4</v>
      </c>
      <c r="P3" s="1" t="s">
        <v>5</v>
      </c>
      <c r="Q3" s="1" t="s">
        <v>6</v>
      </c>
      <c r="R3" s="11" t="s">
        <v>15</v>
      </c>
    </row>
    <row r="4" spans="1:18" x14ac:dyDescent="0.25">
      <c r="A4">
        <v>6467742.8455561409</v>
      </c>
      <c r="B4">
        <v>3480532.1863457696</v>
      </c>
      <c r="C4">
        <v>9649393.6351747084</v>
      </c>
      <c r="D4">
        <v>3723521.1194237173</v>
      </c>
      <c r="E4">
        <v>123320.7460392162</v>
      </c>
      <c r="F4">
        <v>18303926.027889345</v>
      </c>
      <c r="G4">
        <v>3930323.5940896641</v>
      </c>
      <c r="H4" s="8">
        <f>Score_altman(A4,B4,C4,D4,E4,F4,G4)</f>
        <v>2.9899995140137277</v>
      </c>
      <c r="K4" s="1">
        <v>25105.803187851838</v>
      </c>
      <c r="L4" s="1">
        <v>5072790.3606164195</v>
      </c>
      <c r="M4" s="1">
        <v>10080226.019065298</v>
      </c>
      <c r="N4" s="1">
        <v>5346474.1467705164</v>
      </c>
      <c r="O4" s="1">
        <v>305273.25031873916</v>
      </c>
      <c r="P4" s="1">
        <v>13520065.678694032</v>
      </c>
      <c r="Q4" s="1">
        <v>5280705.0793884061</v>
      </c>
      <c r="R4" s="8">
        <f>Score_altman(K4,L4,M4,N4,O4,P4,Q4)</f>
        <v>2.9899982711824094</v>
      </c>
    </row>
    <row r="5" spans="1:18" x14ac:dyDescent="0.25">
      <c r="A5">
        <v>8313855.7568184836</v>
      </c>
      <c r="B5">
        <v>3380614.9085095786</v>
      </c>
      <c r="C5">
        <v>10091345.626383526</v>
      </c>
      <c r="D5">
        <v>3565716.980413076</v>
      </c>
      <c r="E5">
        <v>114092.45531072312</v>
      </c>
      <c r="F5">
        <v>12484439.336213861</v>
      </c>
      <c r="G5">
        <v>3678224.2604832449</v>
      </c>
      <c r="H5" s="8">
        <f t="shared" ref="H5:H7" si="0">Score_altman(A5,B5,C5,D5,E5,F5,G5)</f>
        <v>2.9900005231477382</v>
      </c>
      <c r="K5" s="1">
        <v>14663556.282790706</v>
      </c>
      <c r="L5" s="1">
        <v>7638074.2569791302</v>
      </c>
      <c r="M5" s="1">
        <v>20996588.947248854</v>
      </c>
      <c r="N5" s="1">
        <v>7760143.7225130545</v>
      </c>
      <c r="O5" s="1">
        <v>459181.81786118221</v>
      </c>
      <c r="P5" s="1">
        <v>10119492.29055259</v>
      </c>
      <c r="Q5" s="1">
        <v>8394001.3505024984</v>
      </c>
      <c r="R5" s="8">
        <f t="shared" ref="R5:R51" si="1">Score_altman(K5,L5,M5,N5,O5,P5,Q5)</f>
        <v>2.9899977285328885</v>
      </c>
    </row>
    <row r="6" spans="1:18" x14ac:dyDescent="0.25">
      <c r="A6">
        <v>163273.87916824259</v>
      </c>
      <c r="B6">
        <v>3054343.9264357658</v>
      </c>
      <c r="C6">
        <v>6504516.5391863734</v>
      </c>
      <c r="D6">
        <v>3363279.2942018397</v>
      </c>
      <c r="E6">
        <v>246816.73688404201</v>
      </c>
      <c r="F6">
        <v>23312007.454362102</v>
      </c>
      <c r="G6">
        <v>3875105.3709602533</v>
      </c>
      <c r="H6" s="8">
        <f t="shared" si="0"/>
        <v>2.990000264556488</v>
      </c>
      <c r="K6" s="1">
        <v>1566311.2721739139</v>
      </c>
      <c r="L6" s="1">
        <v>8440229.2160809077</v>
      </c>
      <c r="M6" s="1">
        <v>17066685.715045232</v>
      </c>
      <c r="N6" s="1">
        <v>8615874.3407024201</v>
      </c>
      <c r="O6" s="1">
        <v>411072.52165021765</v>
      </c>
      <c r="P6" s="1">
        <v>17630985.807618182</v>
      </c>
      <c r="Q6" s="1">
        <v>8749820.9716613479</v>
      </c>
      <c r="R6" s="8">
        <f t="shared" si="1"/>
        <v>2.9899976186969419</v>
      </c>
    </row>
    <row r="7" spans="1:18" x14ac:dyDescent="0.25">
      <c r="A7">
        <v>11408041.049716258</v>
      </c>
      <c r="B7">
        <v>4307140.6749804001</v>
      </c>
      <c r="C7">
        <v>13301670.679717448</v>
      </c>
      <c r="D7">
        <v>4463131.0723285032</v>
      </c>
      <c r="E7">
        <v>341372.72714017815</v>
      </c>
      <c r="F7">
        <v>10358217.838374523</v>
      </c>
      <c r="G7">
        <v>5112117.6543918625</v>
      </c>
      <c r="H7" s="8">
        <f t="shared" si="0"/>
        <v>2.9900004338409087</v>
      </c>
      <c r="K7" s="1">
        <v>164215.90541092778</v>
      </c>
      <c r="L7" s="1">
        <v>6424910.058292577</v>
      </c>
      <c r="M7" s="1">
        <v>12622627.45686491</v>
      </c>
      <c r="N7" s="1">
        <v>6492513.9996957835</v>
      </c>
      <c r="O7" s="1">
        <v>223888.93982738027</v>
      </c>
      <c r="P7" s="1">
        <v>21450669.55101651</v>
      </c>
      <c r="Q7" s="1">
        <v>7116555.9485408692</v>
      </c>
      <c r="R7" s="8">
        <f t="shared" si="1"/>
        <v>2.9900010569042461</v>
      </c>
    </row>
    <row r="8" spans="1:18" x14ac:dyDescent="0.25">
      <c r="A8">
        <v>0</v>
      </c>
      <c r="B8">
        <v>3686664.2406443632</v>
      </c>
      <c r="C8">
        <v>7668971.2230221936</v>
      </c>
      <c r="D8">
        <v>4031831.4295952255</v>
      </c>
      <c r="E8">
        <v>224038.27873195178</v>
      </c>
      <c r="F8">
        <v>16389609.519554442</v>
      </c>
      <c r="G8">
        <v>4445407.4675271269</v>
      </c>
      <c r="H8" s="8">
        <f t="shared" ref="H5:H43" si="2">Score_altman(A8,B8,C8,D8,E8,F8,G8)</f>
        <v>2.990000362094289</v>
      </c>
      <c r="K8" s="1">
        <v>11974558.480599171</v>
      </c>
      <c r="L8" s="1">
        <v>9236520.4600172117</v>
      </c>
      <c r="M8" s="1">
        <v>22595196.100937005</v>
      </c>
      <c r="N8" s="1">
        <v>9290798.6374288909</v>
      </c>
      <c r="O8" s="1">
        <v>189400.94716857665</v>
      </c>
      <c r="P8" s="1">
        <v>12386650.527798248</v>
      </c>
      <c r="Q8" s="1">
        <v>9486938.9479595013</v>
      </c>
      <c r="R8" s="8">
        <f t="shared" si="1"/>
        <v>2.9899985002782694</v>
      </c>
    </row>
    <row r="9" spans="1:18" x14ac:dyDescent="0.25">
      <c r="A9">
        <v>1530743.0035738605</v>
      </c>
      <c r="B9">
        <v>1807805.1696425895</v>
      </c>
      <c r="C9">
        <v>6431208.4579763552</v>
      </c>
      <c r="D9">
        <v>3329647.737503279</v>
      </c>
      <c r="E9">
        <v>408053.4418865277</v>
      </c>
      <c r="F9">
        <v>20462332.713222239</v>
      </c>
      <c r="G9">
        <v>3835062.5241249958</v>
      </c>
      <c r="H9" s="8">
        <f t="shared" si="2"/>
        <v>2.9900006688411538</v>
      </c>
      <c r="K9" s="1">
        <v>5187631.8699426008</v>
      </c>
      <c r="L9" s="1">
        <v>8803307.1502462849</v>
      </c>
      <c r="M9" s="1">
        <v>19042791.709748928</v>
      </c>
      <c r="N9" s="1">
        <v>8722103.1486196406</v>
      </c>
      <c r="O9" s="1">
        <v>123285.79055080499</v>
      </c>
      <c r="P9" s="1">
        <v>14011819.458722772</v>
      </c>
      <c r="Q9" s="1">
        <v>9600677.180074688</v>
      </c>
      <c r="R9" s="8">
        <f t="shared" si="1"/>
        <v>2.989999019897986</v>
      </c>
    </row>
    <row r="10" spans="1:18" x14ac:dyDescent="0.25">
      <c r="A10">
        <v>2383815.3198181363</v>
      </c>
      <c r="B10">
        <v>1408949.4923501923</v>
      </c>
      <c r="C10">
        <v>5778645.1934917858</v>
      </c>
      <c r="D10">
        <v>2662916.3391127326</v>
      </c>
      <c r="E10">
        <v>308118.84031436528</v>
      </c>
      <c r="F10">
        <v>19853397.395891063</v>
      </c>
      <c r="G10">
        <v>3640005.2894861195</v>
      </c>
      <c r="H10" s="8">
        <f t="shared" si="2"/>
        <v>2.9899995821776386</v>
      </c>
      <c r="K10" s="1">
        <v>2069624.4779831343</v>
      </c>
      <c r="L10" s="1">
        <v>6746426.3429349987</v>
      </c>
      <c r="M10" s="1">
        <v>14480932.449710742</v>
      </c>
      <c r="N10" s="1">
        <v>7165583.5726886531</v>
      </c>
      <c r="O10" s="1">
        <v>326647.97850015928</v>
      </c>
      <c r="P10" s="1">
        <v>18689532.622721471</v>
      </c>
      <c r="Q10" s="1">
        <v>7647614.3316368898</v>
      </c>
      <c r="R10" s="8">
        <f t="shared" si="1"/>
        <v>2.9899985357489207</v>
      </c>
    </row>
    <row r="12" spans="1:18" x14ac:dyDescent="0.25">
      <c r="A12" t="s">
        <v>16</v>
      </c>
      <c r="K12" t="s">
        <v>16</v>
      </c>
    </row>
    <row r="13" spans="1:18" x14ac:dyDescent="0.25">
      <c r="A13" t="s">
        <v>0</v>
      </c>
      <c r="B13" t="s">
        <v>1</v>
      </c>
      <c r="C13" t="s">
        <v>2</v>
      </c>
      <c r="D13" t="s">
        <v>3</v>
      </c>
      <c r="E13" t="s">
        <v>4</v>
      </c>
      <c r="F13" t="s">
        <v>5</v>
      </c>
      <c r="G13" t="s">
        <v>6</v>
      </c>
      <c r="K13" s="1" t="s">
        <v>0</v>
      </c>
      <c r="L13" s="1" t="s">
        <v>1</v>
      </c>
      <c r="M13" s="1" t="s">
        <v>2</v>
      </c>
      <c r="N13" s="1" t="s">
        <v>3</v>
      </c>
      <c r="O13" s="1" t="s">
        <v>4</v>
      </c>
      <c r="P13" s="1" t="s">
        <v>5</v>
      </c>
      <c r="Q13" s="1" t="s">
        <v>6</v>
      </c>
    </row>
    <row r="14" spans="1:18" x14ac:dyDescent="0.25">
      <c r="A14">
        <v>8227947.7730146125</v>
      </c>
      <c r="B14">
        <v>32200.966590586042</v>
      </c>
      <c r="C14">
        <v>4413823.6198802963</v>
      </c>
      <c r="D14">
        <v>0</v>
      </c>
      <c r="E14">
        <v>263390.88033559348</v>
      </c>
      <c r="F14">
        <v>22842266.867412739</v>
      </c>
      <c r="G14">
        <v>3280987.512264099</v>
      </c>
      <c r="H14" s="8">
        <f t="shared" si="2"/>
        <v>2.9900003196442619</v>
      </c>
      <c r="K14" s="1">
        <v>10587971.729916861</v>
      </c>
      <c r="L14" s="1">
        <v>7426134.9117736416</v>
      </c>
      <c r="M14" s="1">
        <v>18800249.310621142</v>
      </c>
      <c r="N14" s="1">
        <v>7585780.8067317577</v>
      </c>
      <c r="O14" s="1">
        <v>181478.32704529515</v>
      </c>
      <c r="P14" s="1">
        <v>12077154.35232554</v>
      </c>
      <c r="Q14" s="1">
        <v>7987873.5003458867</v>
      </c>
      <c r="R14" s="8">
        <f t="shared" si="1"/>
        <v>2.9899990451335596</v>
      </c>
    </row>
    <row r="15" spans="1:18" x14ac:dyDescent="0.25">
      <c r="A15">
        <v>3802536.180450527</v>
      </c>
      <c r="B15">
        <v>1622936.9180358737</v>
      </c>
      <c r="C15">
        <v>6766063.2622404387</v>
      </c>
      <c r="D15">
        <v>2758186.787668095</v>
      </c>
      <c r="E15">
        <v>225901.41634785978</v>
      </c>
      <c r="F15">
        <v>23558670.872660186</v>
      </c>
      <c r="G15">
        <v>4297403.5451778388</v>
      </c>
      <c r="H15" s="8">
        <f t="shared" si="2"/>
        <v>2.9899997650848831</v>
      </c>
      <c r="K15" s="1">
        <v>0</v>
      </c>
      <c r="L15" s="1">
        <v>6156158.6967476765</v>
      </c>
      <c r="M15" s="1">
        <v>11577209.479776796</v>
      </c>
      <c r="N15" s="1">
        <v>5864404.5525871012</v>
      </c>
      <c r="O15" s="1">
        <v>481344.49630977935</v>
      </c>
      <c r="P15" s="1">
        <v>15782942.589189615</v>
      </c>
      <c r="Q15" s="1">
        <v>6497821.6969963135</v>
      </c>
      <c r="R15" s="8">
        <f t="shared" si="1"/>
        <v>2.9899993548143105</v>
      </c>
    </row>
    <row r="16" spans="1:18" x14ac:dyDescent="0.25">
      <c r="A16">
        <v>10570694.641077973</v>
      </c>
      <c r="B16">
        <v>5014549.6492118658</v>
      </c>
      <c r="C16">
        <v>14381705.874742419</v>
      </c>
      <c r="D16">
        <v>5243137.1636348432</v>
      </c>
      <c r="E16">
        <v>345164.16714844614</v>
      </c>
      <c r="F16">
        <v>12530671.246353116</v>
      </c>
      <c r="G16">
        <v>5814179.2177358801</v>
      </c>
      <c r="H16" s="8">
        <f t="shared" si="2"/>
        <v>2.9899988057036992</v>
      </c>
      <c r="K16" s="1">
        <v>8492544.4746550377</v>
      </c>
      <c r="L16" s="1">
        <v>7724920.4384058909</v>
      </c>
      <c r="M16" s="1">
        <v>18363877.147518918</v>
      </c>
      <c r="N16" s="1">
        <v>7684298.3995884312</v>
      </c>
      <c r="O16" s="1">
        <v>138895.03868737322</v>
      </c>
      <c r="P16" s="1">
        <v>10506563.113101231</v>
      </c>
      <c r="Q16" s="1">
        <v>8483049.0714949779</v>
      </c>
      <c r="R16" s="8">
        <f t="shared" si="1"/>
        <v>2.9900005611201004</v>
      </c>
    </row>
    <row r="17" spans="1:18" x14ac:dyDescent="0.25">
      <c r="A17">
        <v>6063881.4454787485</v>
      </c>
      <c r="B17">
        <v>2612621.8869473082</v>
      </c>
      <c r="C17">
        <v>7660938.5849275356</v>
      </c>
      <c r="D17">
        <v>2749411.3246812886</v>
      </c>
      <c r="E17">
        <v>148698.95057185672</v>
      </c>
      <c r="F17">
        <v>16490763.804072347</v>
      </c>
      <c r="G17">
        <v>2886228.5092531783</v>
      </c>
      <c r="H17" s="8">
        <f t="shared" si="2"/>
        <v>2.9899991538684754</v>
      </c>
      <c r="K17" s="1">
        <v>0</v>
      </c>
      <c r="L17" s="1">
        <v>7692688.223116817</v>
      </c>
      <c r="M17" s="1">
        <v>14718145.80288309</v>
      </c>
      <c r="N17" s="1">
        <v>7554269.0250288583</v>
      </c>
      <c r="O17" s="1">
        <v>363379.32674462849</v>
      </c>
      <c r="P17" s="1">
        <v>24934892.48120122</v>
      </c>
      <c r="Q17" s="1">
        <v>8262304.9741679141</v>
      </c>
      <c r="R17" s="8">
        <f t="shared" si="1"/>
        <v>2.989997957894901</v>
      </c>
    </row>
    <row r="18" spans="1:18" x14ac:dyDescent="0.25">
      <c r="A18">
        <v>11748586.000134004</v>
      </c>
      <c r="B18">
        <v>2200541.9826388927</v>
      </c>
      <c r="C18">
        <v>9267973.266030984</v>
      </c>
      <c r="D18">
        <v>2241795.3769179033</v>
      </c>
      <c r="E18">
        <v>200043.46896805183</v>
      </c>
      <c r="F18">
        <v>13384903.61401232</v>
      </c>
      <c r="G18">
        <v>3081962.0151917278</v>
      </c>
      <c r="H18" s="8">
        <f t="shared" si="2"/>
        <v>2.9899998596459993</v>
      </c>
      <c r="K18" s="1">
        <v>9523908.0568761472</v>
      </c>
      <c r="L18" s="1">
        <v>6780313.2566797053</v>
      </c>
      <c r="M18" s="1">
        <v>17376161.652032666</v>
      </c>
      <c r="N18" s="1">
        <v>7042032.2968477709</v>
      </c>
      <c r="O18" s="1">
        <v>201223.52187167646</v>
      </c>
      <c r="P18" s="1">
        <v>13649005.408529636</v>
      </c>
      <c r="Q18" s="1">
        <v>7718358.6169112613</v>
      </c>
      <c r="R18" s="8">
        <f t="shared" si="1"/>
        <v>2.989999393587714</v>
      </c>
    </row>
    <row r="19" spans="1:18" x14ac:dyDescent="0.25">
      <c r="K19" s="1">
        <v>0</v>
      </c>
      <c r="L19" s="1">
        <v>10951355.492170203</v>
      </c>
      <c r="M19" s="1">
        <v>21104471.787217688</v>
      </c>
      <c r="N19" s="1">
        <v>11015483.920607042</v>
      </c>
      <c r="O19" s="1">
        <v>200503.90631822086</v>
      </c>
      <c r="P19" s="1">
        <v>22985864.227466807</v>
      </c>
      <c r="Q19" s="1">
        <v>11423162.850781718</v>
      </c>
      <c r="R19" s="8">
        <f t="shared" si="1"/>
        <v>2.9900004687149919</v>
      </c>
    </row>
    <row r="20" spans="1:18" x14ac:dyDescent="0.25">
      <c r="A20" t="s">
        <v>18</v>
      </c>
      <c r="K20" s="1">
        <v>0</v>
      </c>
      <c r="L20" s="1">
        <v>7152735.4040027894</v>
      </c>
      <c r="M20" s="1">
        <v>14003540.663626922</v>
      </c>
      <c r="N20" s="1">
        <v>7291505.3344007395</v>
      </c>
      <c r="O20" s="1">
        <v>207119.83075557573</v>
      </c>
      <c r="P20" s="1">
        <v>16268102.250366127</v>
      </c>
      <c r="Q20" s="1">
        <v>7765437.9059504941</v>
      </c>
      <c r="R20" s="8">
        <f t="shared" si="1"/>
        <v>2.989997630177347</v>
      </c>
    </row>
    <row r="21" spans="1:18" x14ac:dyDescent="0.25">
      <c r="A21" t="s">
        <v>0</v>
      </c>
      <c r="B21" t="s">
        <v>1</v>
      </c>
      <c r="C21" t="s">
        <v>2</v>
      </c>
      <c r="D21" t="s">
        <v>3</v>
      </c>
      <c r="E21" t="s">
        <v>4</v>
      </c>
      <c r="F21" t="s">
        <v>5</v>
      </c>
      <c r="G21" t="s">
        <v>6</v>
      </c>
    </row>
    <row r="22" spans="1:18" x14ac:dyDescent="0.25">
      <c r="A22">
        <v>6085526.2860419052</v>
      </c>
      <c r="B22">
        <v>5668413.0948564848</v>
      </c>
      <c r="C22">
        <v>14083679.152625874</v>
      </c>
      <c r="D22">
        <v>6144805.7444557417</v>
      </c>
      <c r="E22">
        <v>307516.88758441556</v>
      </c>
      <c r="F22">
        <v>20050126.145264965</v>
      </c>
      <c r="G22">
        <v>6529603.3734674724</v>
      </c>
      <c r="H22" s="8">
        <f t="shared" si="2"/>
        <v>2.9899985548184498</v>
      </c>
      <c r="K22" t="s">
        <v>18</v>
      </c>
    </row>
    <row r="23" spans="1:18" x14ac:dyDescent="0.25">
      <c r="A23">
        <v>0</v>
      </c>
      <c r="B23">
        <v>5456303.0265022889</v>
      </c>
      <c r="C23">
        <v>11152837.782456389</v>
      </c>
      <c r="D23">
        <v>5947846.2990324209</v>
      </c>
      <c r="E23">
        <v>366300.45252133918</v>
      </c>
      <c r="F23">
        <v>22745718.267904107</v>
      </c>
      <c r="G23">
        <v>6032826.1711174166</v>
      </c>
      <c r="H23" s="8">
        <f t="shared" si="2"/>
        <v>2.9899994575942506</v>
      </c>
      <c r="K23" s="1" t="s">
        <v>0</v>
      </c>
      <c r="L23" s="1" t="s">
        <v>1</v>
      </c>
      <c r="M23" s="1" t="s">
        <v>2</v>
      </c>
      <c r="N23" s="1" t="s">
        <v>3</v>
      </c>
      <c r="O23" s="1" t="s">
        <v>4</v>
      </c>
      <c r="P23" s="1" t="s">
        <v>5</v>
      </c>
      <c r="Q23" s="1" t="s">
        <v>6</v>
      </c>
    </row>
    <row r="24" spans="1:18" x14ac:dyDescent="0.25">
      <c r="A24">
        <v>1551122.4126257289</v>
      </c>
      <c r="B24">
        <v>5532377.3633572701</v>
      </c>
      <c r="C24">
        <v>11824185.009515313</v>
      </c>
      <c r="D24">
        <v>5879448.2444796572</v>
      </c>
      <c r="E24">
        <v>450210.30663502205</v>
      </c>
      <c r="F24">
        <v>16092106.29248246</v>
      </c>
      <c r="G24">
        <v>6209060.6166958371</v>
      </c>
      <c r="H24" s="8">
        <f t="shared" si="2"/>
        <v>2.9899995157561423</v>
      </c>
      <c r="K24" s="1">
        <v>0</v>
      </c>
      <c r="L24" s="1">
        <v>8836888.4710462168</v>
      </c>
      <c r="M24" s="1">
        <v>16645640.689147767</v>
      </c>
      <c r="N24" s="1">
        <v>8557104.4818826914</v>
      </c>
      <c r="O24" s="1">
        <v>203100.50960651773</v>
      </c>
      <c r="P24" s="1">
        <v>19775218.895795401</v>
      </c>
      <c r="Q24" s="1">
        <v>9149260.6050062664</v>
      </c>
      <c r="R24" s="8">
        <f t="shared" si="1"/>
        <v>2.9899977891370431</v>
      </c>
    </row>
    <row r="25" spans="1:18" x14ac:dyDescent="0.25">
      <c r="A25">
        <v>1187192.0241597779</v>
      </c>
      <c r="B25">
        <v>4063829.1883043768</v>
      </c>
      <c r="C25">
        <v>9025302.0619564913</v>
      </c>
      <c r="D25">
        <v>4460025.2254372239</v>
      </c>
      <c r="E25">
        <v>372736.01764334779</v>
      </c>
      <c r="F25">
        <v>21182977.847531453</v>
      </c>
      <c r="G25">
        <v>5109382.7812435422</v>
      </c>
      <c r="H25" s="8">
        <f t="shared" si="2"/>
        <v>2.9899995189037614</v>
      </c>
      <c r="K25" s="1">
        <v>792882.20404125703</v>
      </c>
      <c r="L25" s="1">
        <v>10705135.156130092</v>
      </c>
      <c r="M25" s="1">
        <v>20936457.043545835</v>
      </c>
      <c r="N25" s="1">
        <v>10793860.205077942</v>
      </c>
      <c r="O25" s="1">
        <v>208194.87720807383</v>
      </c>
      <c r="P25" s="1">
        <v>21365279.340709813</v>
      </c>
      <c r="Q25" s="1">
        <v>11029549.208353287</v>
      </c>
      <c r="R25" s="8">
        <f t="shared" si="1"/>
        <v>2.9900018835815314</v>
      </c>
    </row>
    <row r="26" spans="1:18" x14ac:dyDescent="0.25">
      <c r="A26">
        <v>12103265.226551257</v>
      </c>
      <c r="B26">
        <v>667180.39058492088</v>
      </c>
      <c r="C26">
        <v>6943494.7770708688</v>
      </c>
      <c r="D26">
        <v>740932.38346573489</v>
      </c>
      <c r="E26">
        <v>487395.22283432755</v>
      </c>
      <c r="F26">
        <v>25280967.96198428</v>
      </c>
      <c r="G26">
        <v>2805739.1710312031</v>
      </c>
      <c r="H26" s="8">
        <f t="shared" si="2"/>
        <v>2.9899997004965737</v>
      </c>
      <c r="K26" s="1">
        <v>4214334.7288877042</v>
      </c>
      <c r="L26" s="1">
        <v>9012950.3987083137</v>
      </c>
      <c r="M26" s="1">
        <v>18923434.816306926</v>
      </c>
      <c r="N26" s="1">
        <v>8939670.7147953659</v>
      </c>
      <c r="O26" s="1">
        <v>255608.98343177774</v>
      </c>
      <c r="P26" s="1">
        <v>14911476.328650687</v>
      </c>
      <c r="Q26" s="1">
        <v>9303217.9600184727</v>
      </c>
      <c r="R26" s="8">
        <f t="shared" si="1"/>
        <v>2.9899996020822672</v>
      </c>
    </row>
    <row r="27" spans="1:18" x14ac:dyDescent="0.25">
      <c r="A27">
        <v>5045212.5652014324</v>
      </c>
      <c r="B27">
        <v>3289049.5484916372</v>
      </c>
      <c r="C27">
        <v>8798823.1269195434</v>
      </c>
      <c r="D27">
        <v>3492370.8059233753</v>
      </c>
      <c r="E27">
        <v>464851.9399004982</v>
      </c>
      <c r="F27">
        <v>11383792.313727161</v>
      </c>
      <c r="G27">
        <v>3948632.316734625</v>
      </c>
      <c r="H27" s="8">
        <f t="shared" si="2"/>
        <v>2.9899989179467696</v>
      </c>
      <c r="K27" s="1">
        <v>4984871.1854268778</v>
      </c>
      <c r="L27" s="1">
        <v>7202635.7859469056</v>
      </c>
      <c r="M27" s="1">
        <v>16384473.453569923</v>
      </c>
      <c r="N27" s="1">
        <v>7611410.4959509894</v>
      </c>
      <c r="O27" s="1">
        <v>267148.21819725126</v>
      </c>
      <c r="P27" s="1">
        <v>18313139.652934525</v>
      </c>
      <c r="Q27" s="1">
        <v>7740366.7050559707</v>
      </c>
      <c r="R27" s="8">
        <f t="shared" si="1"/>
        <v>2.9899991915591451</v>
      </c>
    </row>
    <row r="28" spans="1:18" x14ac:dyDescent="0.25">
      <c r="K28" s="1">
        <v>0</v>
      </c>
      <c r="L28" s="1">
        <v>6937086.5116789797</v>
      </c>
      <c r="M28" s="1">
        <v>13469124.847500196</v>
      </c>
      <c r="N28" s="1">
        <v>7112702.4513168382</v>
      </c>
      <c r="O28" s="1">
        <v>228430.34895919208</v>
      </c>
      <c r="P28" s="1">
        <v>17346307.726163458</v>
      </c>
      <c r="Q28" s="1">
        <v>7052978.0062815044</v>
      </c>
      <c r="R28" s="8">
        <f t="shared" si="1"/>
        <v>2.9900020253585962</v>
      </c>
    </row>
    <row r="29" spans="1:18" x14ac:dyDescent="0.25">
      <c r="A29" t="s">
        <v>19</v>
      </c>
      <c r="K29" s="1">
        <v>2115068.3897529328</v>
      </c>
      <c r="L29" s="1">
        <v>8760850.7406681105</v>
      </c>
      <c r="M29" s="1">
        <v>18067970.477400895</v>
      </c>
      <c r="N29" s="1">
        <v>9004037.7021819968</v>
      </c>
      <c r="O29" s="1">
        <v>309547.61931646959</v>
      </c>
      <c r="P29" s="1">
        <v>18704240.946229156</v>
      </c>
      <c r="Q29" s="1">
        <v>9421419.5502867326</v>
      </c>
      <c r="R29" s="8">
        <f t="shared" si="1"/>
        <v>2.9899991735617051</v>
      </c>
    </row>
    <row r="30" spans="1:18" x14ac:dyDescent="0.25">
      <c r="A30" s="1" t="s">
        <v>0</v>
      </c>
      <c r="B30" s="1" t="s">
        <v>1</v>
      </c>
      <c r="C30" s="1" t="s">
        <v>2</v>
      </c>
      <c r="D30" s="1" t="s">
        <v>3</v>
      </c>
      <c r="E30" s="1" t="s">
        <v>4</v>
      </c>
      <c r="F30" s="1" t="s">
        <v>5</v>
      </c>
      <c r="G30" s="1" t="s">
        <v>6</v>
      </c>
    </row>
    <row r="31" spans="1:18" x14ac:dyDescent="0.25">
      <c r="A31" s="1">
        <v>2749459.8231212823</v>
      </c>
      <c r="B31" s="1">
        <v>6420874.9339072043</v>
      </c>
      <c r="C31" s="1">
        <v>14204408.746816091</v>
      </c>
      <c r="D31" s="1">
        <v>6978681.9917095974</v>
      </c>
      <c r="E31" s="1">
        <v>189331.05361026482</v>
      </c>
      <c r="F31" s="1">
        <v>21860506.441773079</v>
      </c>
      <c r="G31" s="1">
        <v>7150643.3765205126</v>
      </c>
      <c r="H31" s="8">
        <f t="shared" si="2"/>
        <v>2.989999647778828</v>
      </c>
      <c r="K31" t="s">
        <v>19</v>
      </c>
    </row>
    <row r="32" spans="1:18" x14ac:dyDescent="0.25">
      <c r="A32" s="1">
        <v>2356777.9736680114</v>
      </c>
      <c r="B32" s="1">
        <v>249923.38136342182</v>
      </c>
      <c r="C32" s="1">
        <v>5293660.1577688213</v>
      </c>
      <c r="D32" s="1">
        <v>2799738.7246263162</v>
      </c>
      <c r="E32" s="1">
        <v>230756.97535539445</v>
      </c>
      <c r="F32" s="1">
        <v>29445872.434015818</v>
      </c>
      <c r="G32" s="1">
        <v>3420188.8167805499</v>
      </c>
      <c r="H32" s="8">
        <f t="shared" si="2"/>
        <v>2.9899996970504872</v>
      </c>
      <c r="K32" s="1" t="s">
        <v>0</v>
      </c>
      <c r="L32" s="1" t="s">
        <v>1</v>
      </c>
      <c r="M32" s="1" t="s">
        <v>2</v>
      </c>
      <c r="N32" s="1" t="s">
        <v>3</v>
      </c>
      <c r="O32" s="1" t="s">
        <v>4</v>
      </c>
      <c r="P32" s="1" t="s">
        <v>5</v>
      </c>
      <c r="Q32" s="1" t="s">
        <v>6</v>
      </c>
    </row>
    <row r="33" spans="1:18" x14ac:dyDescent="0.25">
      <c r="A33" s="1">
        <v>2306418.7950683264</v>
      </c>
      <c r="B33" s="1">
        <v>1394976.3173799447</v>
      </c>
      <c r="C33" s="1">
        <v>6937626.2507605692</v>
      </c>
      <c r="D33" s="1">
        <v>3393400.3512397888</v>
      </c>
      <c r="E33" s="1">
        <v>225346.66749896697</v>
      </c>
      <c r="F33" s="1">
        <v>25797639.234552015</v>
      </c>
      <c r="G33" s="1">
        <v>4836619.2682822039</v>
      </c>
      <c r="H33" s="8">
        <f t="shared" si="2"/>
        <v>2.9900001603041457</v>
      </c>
      <c r="K33" s="1">
        <v>9179633.6067642644</v>
      </c>
      <c r="L33" s="1">
        <v>6204080.7133982629</v>
      </c>
      <c r="M33" s="1">
        <v>16141188.546150781</v>
      </c>
      <c r="N33" s="1">
        <v>6435131.5818955973</v>
      </c>
      <c r="O33" s="1">
        <v>479812.86709810433</v>
      </c>
      <c r="P33" s="1">
        <v>13075433.201377191</v>
      </c>
      <c r="Q33" s="1">
        <v>7039936.8539675158</v>
      </c>
      <c r="R33" s="8">
        <f t="shared" si="1"/>
        <v>2.9899986266258263</v>
      </c>
    </row>
    <row r="34" spans="1:18" x14ac:dyDescent="0.25">
      <c r="A34" s="1">
        <v>9511553.9658712819</v>
      </c>
      <c r="B34" s="1">
        <v>4269913.6901943106</v>
      </c>
      <c r="C34" s="1">
        <v>12531085.450248346</v>
      </c>
      <c r="D34" s="1">
        <v>4456543.0346001582</v>
      </c>
      <c r="E34" s="1">
        <v>216933.67797992242</v>
      </c>
      <c r="F34" s="1">
        <v>12208687.347425252</v>
      </c>
      <c r="G34" s="1">
        <v>5288919.960178134</v>
      </c>
      <c r="H34" s="8">
        <f t="shared" si="2"/>
        <v>2.9900015663249033</v>
      </c>
      <c r="K34" s="1">
        <v>12714803.669353768</v>
      </c>
      <c r="L34" s="1">
        <v>6202180.2088811761</v>
      </c>
      <c r="M34" s="1">
        <v>17315603.028647203</v>
      </c>
      <c r="N34" s="1">
        <v>6412626.8346792255</v>
      </c>
      <c r="O34" s="1">
        <v>446458.90744326921</v>
      </c>
      <c r="P34" s="1">
        <v>11641910.276539382</v>
      </c>
      <c r="Q34" s="1">
        <v>6336116.5896464959</v>
      </c>
      <c r="R34" s="8">
        <f t="shared" si="1"/>
        <v>2.9900005704871013</v>
      </c>
    </row>
    <row r="35" spans="1:18" x14ac:dyDescent="0.25">
      <c r="A35" s="1">
        <v>6058165.5964569077</v>
      </c>
      <c r="B35" s="1">
        <v>215682.67160711516</v>
      </c>
      <c r="C35" s="1">
        <v>5911739.8017784972</v>
      </c>
      <c r="D35" s="1">
        <v>1851576.8330671394</v>
      </c>
      <c r="E35" s="1">
        <v>103645.10615759657</v>
      </c>
      <c r="F35" s="1">
        <v>28824825.27872416</v>
      </c>
      <c r="G35" s="1">
        <v>4021606.3933715643</v>
      </c>
      <c r="H35" s="8">
        <f t="shared" si="2"/>
        <v>2.9899999881877553</v>
      </c>
      <c r="K35" s="1">
        <v>5152133.2011830844</v>
      </c>
      <c r="L35" s="1">
        <v>6849400.339885137</v>
      </c>
      <c r="M35" s="1">
        <v>15719819.783600369</v>
      </c>
      <c r="N35" s="1">
        <v>7245898.7472354379</v>
      </c>
      <c r="O35" s="1">
        <v>324329.08358718094</v>
      </c>
      <c r="P35" s="1">
        <v>18508591.797739591</v>
      </c>
      <c r="Q35" s="1">
        <v>7226054.2050999943</v>
      </c>
      <c r="R35" s="8">
        <f t="shared" si="1"/>
        <v>2.9899995929161847</v>
      </c>
    </row>
    <row r="36" spans="1:18" x14ac:dyDescent="0.25">
      <c r="A36" s="1">
        <v>0</v>
      </c>
      <c r="B36" s="1">
        <v>1825121.5486450703</v>
      </c>
      <c r="C36" s="1">
        <v>0</v>
      </c>
      <c r="D36" s="1">
        <v>1990376.2480384526</v>
      </c>
      <c r="E36" s="1">
        <v>487343.09637913195</v>
      </c>
      <c r="F36" s="1">
        <v>19587431.138941124</v>
      </c>
      <c r="G36" s="1">
        <v>2653079.6700596451</v>
      </c>
      <c r="H36" s="9" t="e">
        <f>Score_altman(A36,B36,C36,D36,E36,F36,G36)</f>
        <v>#VALUE!</v>
      </c>
      <c r="K36" s="1">
        <v>0</v>
      </c>
      <c r="L36" s="1">
        <v>10195116.766228648</v>
      </c>
      <c r="M36" s="1">
        <v>19830468.455252722</v>
      </c>
      <c r="N36" s="1">
        <v>10553979.652183888</v>
      </c>
      <c r="O36" s="1">
        <v>182823.09298089863</v>
      </c>
      <c r="P36" s="1">
        <v>24899473.934082136</v>
      </c>
      <c r="Q36" s="1">
        <v>10206495.059909288</v>
      </c>
      <c r="R36" s="8">
        <f t="shared" si="1"/>
        <v>2.9899995480886892</v>
      </c>
    </row>
    <row r="37" spans="1:18" x14ac:dyDescent="0.25">
      <c r="K37" s="1">
        <v>3224234.5519156917</v>
      </c>
      <c r="L37" s="1">
        <v>10673545.297249552</v>
      </c>
      <c r="M37" s="1">
        <v>21909762.682476301</v>
      </c>
      <c r="N37" s="1">
        <v>10719778.978508176</v>
      </c>
      <c r="O37" s="1">
        <v>160630.97523195273</v>
      </c>
      <c r="P37" s="1">
        <v>19690968.347560957</v>
      </c>
      <c r="Q37" s="1">
        <v>11328982.629680566</v>
      </c>
      <c r="R37" s="8">
        <f t="shared" si="1"/>
        <v>2.9900026694382116</v>
      </c>
    </row>
    <row r="38" spans="1:18" x14ac:dyDescent="0.25">
      <c r="A38" t="s">
        <v>20</v>
      </c>
      <c r="K38" s="1">
        <v>8882919.9610433448</v>
      </c>
      <c r="L38" s="1">
        <v>5516675.7294130893</v>
      </c>
      <c r="M38" s="1">
        <v>14508990.433647545</v>
      </c>
      <c r="N38" s="1">
        <v>5686781.6015424337</v>
      </c>
      <c r="O38" s="1">
        <v>184283.49387611711</v>
      </c>
      <c r="P38" s="1">
        <v>9997965.551155407</v>
      </c>
      <c r="Q38" s="1">
        <v>6133533.6504507577</v>
      </c>
      <c r="R38" s="8">
        <f t="shared" si="1"/>
        <v>2.9900003721703845</v>
      </c>
    </row>
    <row r="39" spans="1:18" x14ac:dyDescent="0.25">
      <c r="A39" t="s">
        <v>0</v>
      </c>
      <c r="B39" t="s">
        <v>1</v>
      </c>
      <c r="C39" t="s">
        <v>2</v>
      </c>
      <c r="D39" t="s">
        <v>3</v>
      </c>
      <c r="E39" t="s">
        <v>4</v>
      </c>
      <c r="F39" t="s">
        <v>5</v>
      </c>
      <c r="G39" t="s">
        <v>6</v>
      </c>
    </row>
    <row r="40" spans="1:18" x14ac:dyDescent="0.25">
      <c r="A40">
        <v>0</v>
      </c>
      <c r="B40">
        <v>2815341.2353491266</v>
      </c>
      <c r="C40">
        <v>5973566.8616453419</v>
      </c>
      <c r="D40">
        <v>3043693.4051527572</v>
      </c>
      <c r="E40">
        <v>304196.96743391379</v>
      </c>
      <c r="F40">
        <v>15460321.440288344</v>
      </c>
      <c r="G40">
        <v>3843207.608663728</v>
      </c>
      <c r="H40" s="8">
        <f t="shared" si="2"/>
        <v>2.9899996428175788</v>
      </c>
      <c r="K40" t="s">
        <v>20</v>
      </c>
    </row>
    <row r="41" spans="1:18" x14ac:dyDescent="0.25">
      <c r="A41">
        <v>0</v>
      </c>
      <c r="B41">
        <v>5425531.8466065833</v>
      </c>
      <c r="C41">
        <v>11153969.128478207</v>
      </c>
      <c r="D41">
        <v>5954810.7803597189</v>
      </c>
      <c r="E41">
        <v>465511.94652606983</v>
      </c>
      <c r="F41">
        <v>20846646.723737653</v>
      </c>
      <c r="G41">
        <v>6014453.3409912046</v>
      </c>
      <c r="H41" s="8">
        <f t="shared" si="2"/>
        <v>2.9900005078480505</v>
      </c>
      <c r="K41" s="1" t="s">
        <v>0</v>
      </c>
      <c r="L41" s="1" t="s">
        <v>1</v>
      </c>
      <c r="M41" s="1" t="s">
        <v>2</v>
      </c>
      <c r="N41" s="1" t="s">
        <v>3</v>
      </c>
      <c r="O41" s="1" t="s">
        <v>4</v>
      </c>
      <c r="P41" s="1" t="s">
        <v>5</v>
      </c>
      <c r="Q41" s="1" t="s">
        <v>6</v>
      </c>
    </row>
    <row r="42" spans="1:18" x14ac:dyDescent="0.25">
      <c r="A42">
        <v>198762.06378551331</v>
      </c>
      <c r="B42">
        <v>831401.10429239483</v>
      </c>
      <c r="C42">
        <v>1812869.0857303562</v>
      </c>
      <c r="D42">
        <v>828241.12872068933</v>
      </c>
      <c r="E42">
        <v>118759.65692040291</v>
      </c>
      <c r="F42">
        <v>14753930.074276838</v>
      </c>
      <c r="G42">
        <v>1288941.2593313954</v>
      </c>
      <c r="H42" s="8">
        <f t="shared" si="2"/>
        <v>2.9900002069647682</v>
      </c>
      <c r="K42" s="1">
        <v>0</v>
      </c>
      <c r="L42" s="1">
        <v>6855770.25858628</v>
      </c>
      <c r="M42" s="1">
        <v>13744514.247936253</v>
      </c>
      <c r="N42" s="1">
        <v>7190621.6178300576</v>
      </c>
      <c r="O42" s="1">
        <v>296209.3499020022</v>
      </c>
      <c r="P42" s="1">
        <v>20264798.407987747</v>
      </c>
      <c r="Q42" s="1">
        <v>7725682.2974831266</v>
      </c>
      <c r="R42" s="8">
        <f t="shared" si="1"/>
        <v>2.9900000079915205</v>
      </c>
    </row>
    <row r="43" spans="1:18" x14ac:dyDescent="0.25">
      <c r="A43">
        <v>5879418.8568090219</v>
      </c>
      <c r="B43">
        <v>3419885.6489741779</v>
      </c>
      <c r="C43">
        <v>9466669.5354897603</v>
      </c>
      <c r="D43">
        <v>3648052.6074316311</v>
      </c>
      <c r="E43">
        <v>279542.52823162114</v>
      </c>
      <c r="F43">
        <v>16458491.478328323</v>
      </c>
      <c r="G43">
        <v>4370857.2720724456</v>
      </c>
      <c r="H43" s="8">
        <f t="shared" si="2"/>
        <v>2.9899994564805046</v>
      </c>
      <c r="K43" s="1">
        <v>1564047.3265799838</v>
      </c>
      <c r="L43" s="1">
        <v>7084923.6800843496</v>
      </c>
      <c r="M43" s="1">
        <v>14774360.671667187</v>
      </c>
      <c r="N43" s="1">
        <v>7548847.695830428</v>
      </c>
      <c r="O43" s="1">
        <v>223798.15107242754</v>
      </c>
      <c r="P43" s="1">
        <v>19789124.117360529</v>
      </c>
      <c r="Q43" s="1">
        <v>7442550.1207063925</v>
      </c>
      <c r="R43" s="8">
        <f t="shared" si="1"/>
        <v>2.9899988413649767</v>
      </c>
    </row>
    <row r="44" spans="1:18" x14ac:dyDescent="0.25">
      <c r="K44" s="1">
        <v>0</v>
      </c>
      <c r="L44" s="1">
        <v>9497533.5005336571</v>
      </c>
      <c r="M44" s="1">
        <v>18287079.411366757</v>
      </c>
      <c r="N44" s="1">
        <v>9597235.6262821667</v>
      </c>
      <c r="O44" s="1">
        <v>494271.77189224446</v>
      </c>
      <c r="P44" s="1">
        <v>24931369.963445161</v>
      </c>
      <c r="Q44" s="1">
        <v>9589276.4153303448</v>
      </c>
      <c r="R44" s="8">
        <f t="shared" si="1"/>
        <v>2.9899982775031839</v>
      </c>
    </row>
    <row r="45" spans="1:18" x14ac:dyDescent="0.25">
      <c r="K45" s="1">
        <v>67173.400783758887</v>
      </c>
      <c r="L45" s="1">
        <v>6601949.8693370335</v>
      </c>
      <c r="M45" s="1">
        <v>12720618.637554212</v>
      </c>
      <c r="N45" s="1">
        <v>6541066.1421016613</v>
      </c>
      <c r="O45" s="1">
        <v>274547.59730739484</v>
      </c>
      <c r="P45" s="1">
        <v>23595585.031940907</v>
      </c>
      <c r="Q45" s="1">
        <v>7108070.6024777163</v>
      </c>
      <c r="R45" s="8">
        <f t="shared" si="1"/>
        <v>2.9900001331269008</v>
      </c>
    </row>
    <row r="46" spans="1:18" x14ac:dyDescent="0.25">
      <c r="K46" s="1">
        <v>0</v>
      </c>
      <c r="L46" s="1">
        <v>5992055.8056155201</v>
      </c>
      <c r="M46" s="1">
        <v>11667210.895865375</v>
      </c>
      <c r="N46" s="1">
        <v>6167160.5039311098</v>
      </c>
      <c r="O46" s="1">
        <v>144799.44560774398</v>
      </c>
      <c r="P46" s="1">
        <v>16545760.789918024</v>
      </c>
      <c r="Q46" s="1">
        <v>6144623.8131490089</v>
      </c>
      <c r="R46" s="8">
        <f t="shared" si="1"/>
        <v>2.9899989672473049</v>
      </c>
    </row>
    <row r="47" spans="1:18" x14ac:dyDescent="0.25">
      <c r="K47" s="1">
        <v>2704093.7664812589</v>
      </c>
      <c r="L47" s="1">
        <v>5901537.2669198597</v>
      </c>
      <c r="M47" s="1">
        <v>12744206.485689992</v>
      </c>
      <c r="N47" s="1">
        <v>6173472.5988961644</v>
      </c>
      <c r="O47" s="1">
        <v>158121.73081041517</v>
      </c>
      <c r="P47" s="1">
        <v>14129785.153699089</v>
      </c>
      <c r="Q47" s="1">
        <v>6202100.4871611707</v>
      </c>
      <c r="R47" s="8">
        <f t="shared" si="1"/>
        <v>2.9899998048359384</v>
      </c>
    </row>
    <row r="48" spans="1:18" x14ac:dyDescent="0.25">
      <c r="K48" s="1">
        <v>0</v>
      </c>
      <c r="L48" s="1">
        <v>7835814.3523191428</v>
      </c>
      <c r="M48" s="1">
        <v>14543083.720418163</v>
      </c>
      <c r="N48" s="1">
        <v>7328603.678488872</v>
      </c>
      <c r="O48" s="1">
        <v>448516.50524849282</v>
      </c>
      <c r="P48" s="1">
        <v>20521440.125039078</v>
      </c>
      <c r="Q48" s="1">
        <v>8220752.2516708802</v>
      </c>
      <c r="R48" s="8">
        <f t="shared" si="1"/>
        <v>2.9899977867109389</v>
      </c>
    </row>
    <row r="49" spans="11:18" x14ac:dyDescent="0.25">
      <c r="K49" s="1">
        <v>0</v>
      </c>
      <c r="L49" s="1">
        <v>7991724.59257471</v>
      </c>
      <c r="M49" s="1">
        <v>15800749.206092117</v>
      </c>
      <c r="N49" s="1">
        <v>8436271.9122143965</v>
      </c>
      <c r="O49" s="1">
        <v>223202.42932399266</v>
      </c>
      <c r="P49" s="1">
        <v>24331677.435493048</v>
      </c>
      <c r="Q49" s="1">
        <v>8211270.5817177407</v>
      </c>
      <c r="R49" s="8">
        <f t="shared" si="1"/>
        <v>2.989999838037869</v>
      </c>
    </row>
    <row r="50" spans="11:18" x14ac:dyDescent="0.25">
      <c r="K50" s="1">
        <v>1347883.7031149804</v>
      </c>
      <c r="L50" s="1">
        <v>5499187.0388351232</v>
      </c>
      <c r="M50" s="1">
        <v>11453510.249620033</v>
      </c>
      <c r="N50" s="1">
        <v>5768725.2186999889</v>
      </c>
      <c r="O50" s="1">
        <v>260822.00611010657</v>
      </c>
      <c r="P50" s="1">
        <v>14255570.298880227</v>
      </c>
      <c r="Q50" s="1">
        <v>5825414.7112869164</v>
      </c>
      <c r="R50" s="8">
        <f t="shared" si="1"/>
        <v>2.9900011624827765</v>
      </c>
    </row>
    <row r="51" spans="11:18" x14ac:dyDescent="0.25">
      <c r="K51" s="1">
        <v>578730.61523120035</v>
      </c>
      <c r="L51" s="1">
        <v>5732859.8435172867</v>
      </c>
      <c r="M51" s="1">
        <v>11644205.246254491</v>
      </c>
      <c r="N51" s="1">
        <v>6011773.3741359236</v>
      </c>
      <c r="O51" s="1">
        <v>407708.25673071202</v>
      </c>
      <c r="P51" s="1">
        <v>14954088.708507884</v>
      </c>
      <c r="Q51" s="1">
        <v>6127654.7298249202</v>
      </c>
      <c r="R51" s="8">
        <f t="shared" si="1"/>
        <v>2.9900016190791838</v>
      </c>
    </row>
  </sheetData>
  <pageMargins left="0.7" right="0.7" top="0.75" bottom="0.75" header="0.3" footer="0.3"/>
  <pageSetup paperSize="9" orientation="portrait" r:id="rId1"/>
  <ignoredErrors>
    <ignoredError sqref="H36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</vt:lpstr>
      <vt:lpstr>B</vt:lpstr>
      <vt:lpstr>C</vt:lpstr>
      <vt:lpstr>D</vt:lpstr>
      <vt:lpstr>E</vt:lpstr>
      <vt:lpstr>Feuil1</vt:lpstr>
      <vt:lpstr>Defaillantes</vt:lpstr>
      <vt:lpstr>incertidudes</vt:lpstr>
      <vt:lpstr>Solveur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Utilisateur Windows</cp:lastModifiedBy>
  <dcterms:created xsi:type="dcterms:W3CDTF">2020-02-19T21:19:23Z</dcterms:created>
  <dcterms:modified xsi:type="dcterms:W3CDTF">2020-02-29T20:46:55Z</dcterms:modified>
</cp:coreProperties>
</file>